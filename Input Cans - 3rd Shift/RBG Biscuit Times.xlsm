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enmills-my.sharepoint.com/personal/trevor_locke_genmills_com/Documents/AHK/Input Cans - 3rd Shift/"/>
    </mc:Choice>
  </mc:AlternateContent>
  <xr:revisionPtr revIDLastSave="498" documentId="8_{2D4C48D6-2DDA-46A9-9C9F-9A80C336DACE}" xr6:coauthVersionLast="46" xr6:coauthVersionMax="46" xr10:uidLastSave="{91655FD3-3A51-4718-993E-39E1455F971D}"/>
  <bookViews>
    <workbookView xWindow="28680" yWindow="-120" windowWidth="29040" windowHeight="15840" xr2:uid="{88EB7D5E-C619-4E31-B310-608133EA981C}"/>
  </bookViews>
  <sheets>
    <sheet name="Daily" sheetId="13" r:id="rId1"/>
    <sheet name="Output" sheetId="14" state="hidden" r:id="rId2"/>
    <sheet name="Products" sheetId="12" r:id="rId3"/>
  </sheets>
  <definedNames>
    <definedName name="L1P">Products!$B$3:$B$54</definedName>
    <definedName name="L2P">Products!$F$3:$F$54</definedName>
    <definedName name="L3P">Products!$I$3:$I$54</definedName>
    <definedName name="L5P">Products!$L$3:$L$54</definedName>
    <definedName name="L6P">Products!$O$3:$O$54</definedName>
    <definedName name="L7P">Products!$R$3:$R$54</definedName>
    <definedName name="L7P2">Products!$R$3:$R$54,Products!$R$55</definedName>
    <definedName name="L7Prod">Products!$R$3:$R$52</definedName>
    <definedName name="Line1">Products!#REF!</definedName>
    <definedName name="Line1P">Products!#REF!</definedName>
    <definedName name="Line2">Products!$E$3:$E$55</definedName>
    <definedName name="Line4">Products!$H$3:$H$54</definedName>
    <definedName name="Line5">Products!$K$3:$K$54</definedName>
    <definedName name="Line6">Products!$N$3:$N$54</definedName>
    <definedName name="Line7">Products!$Q$3:$Q$54</definedName>
    <definedName name="Testone">Products!$B$3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4" l="1"/>
  <c r="B74" i="14"/>
  <c r="B78" i="14"/>
  <c r="B72" i="14"/>
  <c r="R54" i="12"/>
  <c r="R53" i="12"/>
  <c r="R52" i="12"/>
  <c r="R51" i="12"/>
  <c r="R50" i="12"/>
  <c r="R49" i="12"/>
  <c r="R48" i="12"/>
  <c r="R47" i="12"/>
  <c r="R46" i="12"/>
  <c r="R45" i="12"/>
  <c r="R44" i="12"/>
  <c r="R43" i="12"/>
  <c r="R42" i="12"/>
  <c r="R41" i="12"/>
  <c r="R40" i="12"/>
  <c r="R39" i="12"/>
  <c r="R38" i="12"/>
  <c r="R37" i="12"/>
  <c r="R36" i="12"/>
  <c r="R35" i="12"/>
  <c r="R34" i="12"/>
  <c r="R33" i="12"/>
  <c r="R32" i="12"/>
  <c r="R31" i="12"/>
  <c r="R30" i="12"/>
  <c r="R29" i="12"/>
  <c r="R28" i="12"/>
  <c r="R27" i="12"/>
  <c r="R26" i="12"/>
  <c r="R25" i="12"/>
  <c r="R24" i="12"/>
  <c r="R23" i="12"/>
  <c r="R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9" i="12"/>
  <c r="R8" i="12"/>
  <c r="R7" i="12"/>
  <c r="R6" i="12"/>
  <c r="R5" i="12"/>
  <c r="R4" i="12"/>
  <c r="O54" i="12"/>
  <c r="O53" i="12"/>
  <c r="O52" i="12"/>
  <c r="O51" i="12"/>
  <c r="O50" i="12"/>
  <c r="O49" i="12"/>
  <c r="O48" i="12"/>
  <c r="O47" i="12"/>
  <c r="O46" i="12"/>
  <c r="O45" i="12"/>
  <c r="O44" i="12"/>
  <c r="O43" i="12"/>
  <c r="O42" i="12"/>
  <c r="O41" i="12"/>
  <c r="O40" i="12"/>
  <c r="O39" i="12"/>
  <c r="O38" i="12"/>
  <c r="O37" i="12"/>
  <c r="O36" i="12"/>
  <c r="O35" i="12"/>
  <c r="O34" i="12"/>
  <c r="O33" i="12"/>
  <c r="O32" i="12"/>
  <c r="O31" i="12"/>
  <c r="O30" i="12"/>
  <c r="O29" i="12"/>
  <c r="O28" i="12"/>
  <c r="O27" i="12"/>
  <c r="O26" i="12"/>
  <c r="O25" i="12"/>
  <c r="O24" i="12"/>
  <c r="O23" i="12"/>
  <c r="O22" i="12"/>
  <c r="O21" i="12"/>
  <c r="O20" i="12"/>
  <c r="O19" i="12"/>
  <c r="O18" i="12"/>
  <c r="O17" i="12"/>
  <c r="O16" i="12"/>
  <c r="O15" i="12"/>
  <c r="O14" i="12"/>
  <c r="O13" i="12"/>
  <c r="O12" i="12"/>
  <c r="O11" i="12"/>
  <c r="O10" i="12"/>
  <c r="O9" i="12"/>
  <c r="O8" i="12"/>
  <c r="O7" i="12"/>
  <c r="O6" i="12"/>
  <c r="O5" i="12"/>
  <c r="O4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L4" i="12"/>
  <c r="I54" i="12"/>
  <c r="I53" i="12"/>
  <c r="I52" i="12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7" i="12"/>
  <c r="I6" i="12"/>
  <c r="I5" i="12"/>
  <c r="I4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R3" i="12"/>
  <c r="O3" i="12"/>
  <c r="L3" i="12"/>
  <c r="I3" i="12"/>
  <c r="F3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44" i="14"/>
  <c r="B42" i="14"/>
  <c r="B38" i="14"/>
  <c r="B36" i="14"/>
  <c r="B32" i="14"/>
  <c r="B30" i="14"/>
  <c r="B127" i="14"/>
  <c r="B125" i="14"/>
  <c r="B121" i="14"/>
  <c r="B119" i="14"/>
  <c r="B115" i="14"/>
  <c r="B105" i="14"/>
  <c r="B107" i="14"/>
  <c r="B113" i="14"/>
  <c r="B80" i="14"/>
  <c r="B101" i="14"/>
  <c r="B99" i="14"/>
  <c r="B95" i="14"/>
  <c r="B93" i="14"/>
  <c r="B84" i="14"/>
  <c r="B86" i="14"/>
  <c r="B65" i="14"/>
  <c r="B63" i="14" a="1"/>
  <c r="B63" i="14" s="1"/>
  <c r="B57" i="14"/>
  <c r="B51" i="14"/>
  <c r="B53" i="14"/>
  <c r="B59" i="14"/>
  <c r="B23" i="14"/>
  <c r="B21" i="14"/>
  <c r="B17" i="14"/>
  <c r="B15" i="14"/>
  <c r="B11" i="14" l="1"/>
  <c r="B9" i="14"/>
  <c r="L4" i="13"/>
  <c r="L5" i="13" s="1"/>
  <c r="B3" i="14" s="1"/>
  <c r="L2" i="13"/>
  <c r="L3" i="13" s="1"/>
  <c r="B2" i="14" s="1"/>
  <c r="L1" i="13"/>
  <c r="B1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tc={9E9F5FF5-6803-4C9A-AEAA-237D33CE4C72}</author>
    <author>tc={775CAF32-27CE-4C27-9CF6-F60DEFAB1A26}</author>
    <author>tc={8C22A38E-32E6-49F7-9B02-8311ACD534E9}</author>
    <author>tc={F98BA8FA-5784-4222-BEBE-1CBBCBA9BC34}</author>
    <author>tc={654D8553-FD86-4B15-B554-BF5147596498}</author>
    <author>tc={0A08ADFE-FD96-4217-829F-7D3A02B14A99}</author>
    <author>tc={7C446CA6-906C-4851-8766-4238B6CC9DE7}</author>
    <author>tc={B5006793-440A-4325-89AA-CD039D7AFA2D}</author>
    <author>tc={0A9F16EC-48FC-4556-A9E7-70C5DEDD2366}</author>
    <author>tc={6AB8273A-D6B3-4535-A5E1-D928E754C9E4}</author>
    <author>tc={826E5698-5204-48BC-AF7C-3E6D3ECD579F}</author>
    <author>tc={9ADFACD5-C0B7-4871-931C-369071368BFC}</author>
    <author>tc={3ACF6FF3-8658-4119-B4FE-2B7429F07194}</author>
    <author>tc={63FB6421-4385-4496-A281-90346419E819}</author>
    <author>tc={2F3A0B99-9565-4397-ABB8-64123C9E3D11}</author>
    <author>tc={0CCFC175-BA24-4ACC-9542-93694E4A9512}</author>
    <author>tc={E873754E-6D6D-4CB4-94CE-FCA00E8D4824}</author>
    <author>tc={4F048DEB-4A87-45FD-9A64-68213FFCA5E7}</author>
    <author>tc={31FDC21A-1350-424A-9F8B-40E399F49643}</author>
    <author>tc={0099382C-91D1-43A5-BA0E-DE71C2917BC1}</author>
  </authors>
  <commentList>
    <comment ref="B1" authorId="0" shapeId="0" xr:uid="{9E9F5FF5-6803-4C9A-AEAA-237D33CE4C72}">
      <text>
        <t>[Threaded comment]
Your version of Excel allows you to read this threaded comment; however, any edits to it will get removed if the file is opened in a newer version of Excel. Learn more: https://go.microsoft.com/fwlink/?linkid=870924
Comment:
    Enter production date, click button to insert today's date</t>
      </text>
    </comment>
    <comment ref="B2" authorId="1" shapeId="0" xr:uid="{775CAF32-27CE-4C27-9CF6-F60DEFAB1A26}">
      <text>
        <t>[Threaded comment]
Your version of Excel allows you to read this threaded comment; however, any edits to it will get removed if the file is opened in a newer version of Excel. Learn more: https://go.microsoft.com/fwlink/?linkid=870924
Comment:
    Enter MQIS initials</t>
      </text>
    </comment>
    <comment ref="B11" authorId="2" shapeId="0" xr:uid="{8C22A38E-32E6-49F7-9B02-8311ACD534E9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15" authorId="3" shapeId="0" xr:uid="{F98BA8FA-5784-4222-BEBE-1CBBCBA9BC34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19" authorId="4" shapeId="0" xr:uid="{654D8553-FD86-4B15-B554-BF5147596498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27" authorId="5" shapeId="0" xr:uid="{0A08ADFE-FD96-4217-829F-7D3A02B14A99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31" authorId="6" shapeId="0" xr:uid="{7C446CA6-906C-4851-8766-4238B6CC9DE7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35" authorId="7" shapeId="0" xr:uid="{B5006793-440A-4325-89AA-CD039D7AFA2D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44" authorId="8" shapeId="0" xr:uid="{0A9F16EC-48FC-4556-A9E7-70C5DEDD2366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48" authorId="9" shapeId="0" xr:uid="{6AB8273A-D6B3-4535-A5E1-D928E754C9E4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52" authorId="10" shapeId="0" xr:uid="{826E5698-5204-48BC-AF7C-3E6D3ECD579F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61" authorId="11" shapeId="0" xr:uid="{9ADFACD5-C0B7-4871-931C-369071368BFC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65" authorId="12" shapeId="0" xr:uid="{3ACF6FF3-8658-4119-B4FE-2B7429F07194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69" authorId="13" shapeId="0" xr:uid="{63FB6421-4385-4496-A281-90346419E819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78" authorId="14" shapeId="0" xr:uid="{2F3A0B99-9565-4397-ABB8-64123C9E3D11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82" authorId="15" shapeId="0" xr:uid="{0CCFC175-BA24-4ACC-9542-93694E4A9512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86" authorId="16" shapeId="0" xr:uid="{E873754E-6D6D-4CB4-94CE-FCA00E8D4824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94" authorId="17" shapeId="0" xr:uid="{4F048DEB-4A87-45FD-9A64-68213FFCA5E7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98" authorId="18" shapeId="0" xr:uid="{31FDC21A-1350-424A-9F8B-40E399F49643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102" authorId="19" shapeId="0" xr:uid="{0099382C-91D1-43A5-BA0E-DE71C2917BC1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</commentList>
</comments>
</file>

<file path=xl/sharedStrings.xml><?xml version="1.0" encoding="utf-8"?>
<sst xmlns="http://schemas.openxmlformats.org/spreadsheetml/2006/main" count="214" uniqueCount="104">
  <si>
    <t>Line 1</t>
  </si>
  <si>
    <t>Line 2</t>
  </si>
  <si>
    <t>Line 4</t>
  </si>
  <si>
    <t>Line 5</t>
  </si>
  <si>
    <t>Line 6</t>
  </si>
  <si>
    <t>Line 7</t>
  </si>
  <si>
    <t>Initials:</t>
  </si>
  <si>
    <t>RBG Line 1</t>
  </si>
  <si>
    <t>Running?</t>
  </si>
  <si>
    <t>Shutdown?</t>
  </si>
  <si>
    <t>Product?</t>
  </si>
  <si>
    <t>Checks:</t>
  </si>
  <si>
    <t>Change Over?</t>
  </si>
  <si>
    <t xml:space="preserve"> 2nd Change Over?</t>
  </si>
  <si>
    <t>Micro?</t>
  </si>
  <si>
    <t>RBG Line 2</t>
  </si>
  <si>
    <t>RBG Line 4</t>
  </si>
  <si>
    <t>RBG Line 5</t>
  </si>
  <si>
    <t>RBG Line 6</t>
  </si>
  <si>
    <t>RBG Line 7</t>
  </si>
  <si>
    <t xml:space="preserve">productionDate:= </t>
  </si>
  <si>
    <t xml:space="preserve">testDate := </t>
  </si>
  <si>
    <t xml:space="preserve">L1product:= </t>
  </si>
  <si>
    <t xml:space="preserve">L1cans := </t>
  </si>
  <si>
    <t xml:space="preserve">L2product:= </t>
  </si>
  <si>
    <t xml:space="preserve">L2cans := </t>
  </si>
  <si>
    <t>previousDate:=</t>
  </si>
  <si>
    <t xml:space="preserve">L1Changeover1:= </t>
  </si>
  <si>
    <t xml:space="preserve">L1cansCO1 := </t>
  </si>
  <si>
    <t>L1Running:=</t>
  </si>
  <si>
    <t>L1shutdown:=</t>
  </si>
  <si>
    <t xml:space="preserve">L1ProductChangeover1:= </t>
  </si>
  <si>
    <t xml:space="preserve">L1Changeover2:= </t>
  </si>
  <si>
    <t xml:space="preserve">L1ProductChangeover2:= </t>
  </si>
  <si>
    <t xml:space="preserve">L1cansCO2 := </t>
  </si>
  <si>
    <t>L2shutdown:=</t>
  </si>
  <si>
    <t>L2Running:=</t>
  </si>
  <si>
    <t xml:space="preserve">L2Changeover1:= </t>
  </si>
  <si>
    <t xml:space="preserve">L2ProductChangeover1:= </t>
  </si>
  <si>
    <t xml:space="preserve">L2cansCO1 := </t>
  </si>
  <si>
    <t xml:space="preserve">L2Changeover2:= </t>
  </si>
  <si>
    <t xml:space="preserve">L2ProductChangeover2:= </t>
  </si>
  <si>
    <t xml:space="preserve">L2cansCO2 := </t>
  </si>
  <si>
    <t>L4shutdown:=</t>
  </si>
  <si>
    <t>L4Running:=</t>
  </si>
  <si>
    <t xml:space="preserve">L4product:= </t>
  </si>
  <si>
    <t xml:space="preserve">L4cans := </t>
  </si>
  <si>
    <t xml:space="preserve">L4Changeover1:= </t>
  </si>
  <si>
    <t xml:space="preserve">L4ProductChangeover1:= </t>
  </si>
  <si>
    <t xml:space="preserve">L4cansCO1 := </t>
  </si>
  <si>
    <t xml:space="preserve">L4Changeover2:= </t>
  </si>
  <si>
    <t xml:space="preserve">L4ProductChangeover2:= </t>
  </si>
  <si>
    <t xml:space="preserve">L4cansCO2 := </t>
  </si>
  <si>
    <t>L5shutdown:=</t>
  </si>
  <si>
    <t>L5Running:=</t>
  </si>
  <si>
    <t xml:space="preserve">L5product:= </t>
  </si>
  <si>
    <t xml:space="preserve">L5cans := </t>
  </si>
  <si>
    <t xml:space="preserve">L5Changeover1:= </t>
  </si>
  <si>
    <t xml:space="preserve">L5ProductChangeover1:= </t>
  </si>
  <si>
    <t xml:space="preserve">L5cansCO1 := </t>
  </si>
  <si>
    <t xml:space="preserve">L5Changeover2:= </t>
  </si>
  <si>
    <t xml:space="preserve">L5ProductChangeover2:= </t>
  </si>
  <si>
    <t xml:space="preserve">L5cansCO2 := </t>
  </si>
  <si>
    <t>L6shutdown:=</t>
  </si>
  <si>
    <t>L6Running:=</t>
  </si>
  <si>
    <t xml:space="preserve">L6product:= </t>
  </si>
  <si>
    <t xml:space="preserve">L6cans := </t>
  </si>
  <si>
    <t xml:space="preserve">L6Changeover1:= </t>
  </si>
  <si>
    <t xml:space="preserve">L6ProductChangeover1:= </t>
  </si>
  <si>
    <t xml:space="preserve">L6cansCO1 := </t>
  </si>
  <si>
    <t xml:space="preserve">L6Changeover2:= </t>
  </si>
  <si>
    <t xml:space="preserve">L6ProductChangeover2:= </t>
  </si>
  <si>
    <t xml:space="preserve">L6cansCO2 := </t>
  </si>
  <si>
    <t>L7shutdown:=</t>
  </si>
  <si>
    <t>L7Running:=</t>
  </si>
  <si>
    <t xml:space="preserve">L7product:= </t>
  </si>
  <si>
    <t xml:space="preserve">L7cans := </t>
  </si>
  <si>
    <t xml:space="preserve">L7Changeover1:= </t>
  </si>
  <si>
    <t xml:space="preserve">L7ProductChangeover1:= </t>
  </si>
  <si>
    <t xml:space="preserve">L7cansCO1 := </t>
  </si>
  <si>
    <t xml:space="preserve">L7Changeover2:= </t>
  </si>
  <si>
    <t xml:space="preserve">L7ProductChangeover2:= </t>
  </si>
  <si>
    <t xml:space="preserve">L7cansCO2 := </t>
  </si>
  <si>
    <t>L4Micro:=</t>
  </si>
  <si>
    <t>L5Micro:=</t>
  </si>
  <si>
    <t>L6Micro:=</t>
  </si>
  <si>
    <t>Inititals :=</t>
  </si>
  <si>
    <t>Global Inititals</t>
  </si>
  <si>
    <t>Production Date:</t>
  </si>
  <si>
    <t>Uncheck if line did not run at all during your checks</t>
  </si>
  <si>
    <t>Check if line shutdown during your checks</t>
  </si>
  <si>
    <t>Check if line had at least one change over</t>
  </si>
  <si>
    <t>Check if line had two change overs</t>
  </si>
  <si>
    <t>Drop down list to select second change over product code</t>
  </si>
  <si>
    <t>Drop down list to select first change over product code</t>
  </si>
  <si>
    <t>Drop down list to select first product code</t>
  </si>
  <si>
    <t>Uncheck if operators did not pull a micro sample</t>
  </si>
  <si>
    <t>Click to set all times to 3rd shift checks</t>
  </si>
  <si>
    <t>Click to set all times to 1st shift checks</t>
  </si>
  <si>
    <t xml:space="preserve">   Click to reset all values back to default</t>
  </si>
  <si>
    <t xml:space="preserve">Press to save and start program. </t>
  </si>
  <si>
    <t>Press ESC to exit program at any time after it begins</t>
  </si>
  <si>
    <t>A MQIS clipboard has to be currently open in the background to any product before hitting submit</t>
  </si>
  <si>
    <t>1500, 1530, 1600, 1630, 1700, 1730, 1800, 1830, 1900, 1930, 2000, 2030, 2100, 2130, 2200, 2230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</si>
</sst>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"/>
    <numFmt numFmtId="166" formatCode="0000000000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454545"/>
      <name val="Courier New"/>
      <family val="3"/>
    </font>
    <font>
      <sz val="11"/>
      <color theme="4" tint="-0.249977111117893"/>
      <name val="Calibri"/>
      <family val="2"/>
      <scheme val="minor"/>
    </font>
    <font>
      <sz val="11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/>
    <xf numFmtId="0" fontId="2" fillId="0" borderId="0" xfId="0" applyFont="1"/>
    <xf numFmtId="165" fontId="0" fillId="0" borderId="0" xfId="0" applyNumberFormat="1"/>
    <xf numFmtId="1" fontId="0" fillId="0" borderId="0" xfId="0" applyNumberFormat="1" applyAlignment="1">
      <alignment horizontal="center"/>
    </xf>
    <xf numFmtId="1" fontId="0" fillId="0" borderId="0" xfId="0" applyNumberFormat="1"/>
    <xf numFmtId="166" fontId="0" fillId="0" borderId="0" xfId="0" applyNumberFormat="1" applyAlignment="1">
      <alignment horizontal="center"/>
    </xf>
    <xf numFmtId="166" fontId="0" fillId="0" borderId="0" xfId="0" applyNumberFormat="1"/>
    <xf numFmtId="0" fontId="0" fillId="2" borderId="1" xfId="0" applyFill="1" applyBorder="1" applyAlignment="1">
      <alignment horizontal="right"/>
    </xf>
    <xf numFmtId="0" fontId="0" fillId="0" borderId="0" xfId="0"/>
    <xf numFmtId="0" fontId="0" fillId="2" borderId="1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checked="Checked" fmlaLink="Output!B7" lockText="1" noThreeD="1"/>
</file>

<file path=xl/ctrlProps/ctrlProp2.xml><?xml version="1.0" encoding="utf-8"?>
<formControlPr xmlns="http://schemas.microsoft.com/office/spreadsheetml/2009/9/main" objectType="CheckBox" fmlaLink="Output!B6" lockText="1" noThreeD="1"/>
</file>

<file path=xl/ctrlProps/ctrlProp3.xml><?xml version="1.0" encoding="utf-8"?>
<formControlPr xmlns="http://schemas.microsoft.com/office/spreadsheetml/2009/9/main" objectType="CheckBox" fmlaLink="Output!B13" lockText="1" noThreeD="1"/>
</file>

<file path=xl/ctrlProps/ctrlProp4.xml><?xml version="1.0" encoding="utf-8"?>
<formControlPr xmlns="http://schemas.microsoft.com/office/spreadsheetml/2009/9/main" objectType="CheckBox" fmlaLink="Output!B19" lockText="1" noThreeD="1"/>
</file>

<file path=xl/ctrlProps/ctrlProp5.xml><?xml version="1.0" encoding="utf-8"?>
<formControlPr xmlns="http://schemas.microsoft.com/office/spreadsheetml/2009/9/main" objectType="CheckBox" checked="Checked" fmlaLink="Output!B28" lockText="1" noThreeD="1"/>
</file>

<file path=xl/ctrlProps/ctrlProp6.xml><?xml version="1.0" encoding="utf-8"?>
<formControlPr xmlns="http://schemas.microsoft.com/office/spreadsheetml/2009/9/main" objectType="CheckBox" fmlaLink="Output!B27" lockText="1" noThreeD="1"/>
</file>

<file path=xl/ctrlProps/ctrlProp7.xml><?xml version="1.0" encoding="utf-8"?>
<formControlPr xmlns="http://schemas.microsoft.com/office/spreadsheetml/2009/9/main" objectType="CheckBox" fmlaLink="Output!B34" lockText="1" noThreeD="1"/>
</file>

<file path=xl/ctrlProps/ctrlProp8.xml><?xml version="1.0" encoding="utf-8"?>
<formControlPr xmlns="http://schemas.microsoft.com/office/spreadsheetml/2009/9/main" objectType="CheckBox" fmlaLink="Output!B40" lockText="1" noThreeD="1"/>
</file>

<file path=xl/ctrlProps/ctrlProp9.xml><?xml version="1.0" encoding="utf-8"?>
<formControlPr xmlns="http://schemas.microsoft.com/office/spreadsheetml/2009/9/main" objectType="CheckBox" checked="Checked" fmlaLink="Output!B49" lockText="1" noThreeD="1"/>
</file>

<file path=xl/ctrlProps/ctrlProp10.xml><?xml version="1.0" encoding="utf-8"?>
<formControlPr xmlns="http://schemas.microsoft.com/office/spreadsheetml/2009/9/main" objectType="CheckBox" fmlaLink="Output!B47" lockText="1" noThreeD="1"/>
</file>

<file path=xl/ctrlProps/ctrlProp11.xml><?xml version="1.0" encoding="utf-8"?>
<formControlPr xmlns="http://schemas.microsoft.com/office/spreadsheetml/2009/9/main" objectType="CheckBox" fmlaLink="Output!B55" lockText="1" noThreeD="1"/>
</file>

<file path=xl/ctrlProps/ctrlProp12.xml><?xml version="1.0" encoding="utf-8"?>
<formControlPr xmlns="http://schemas.microsoft.com/office/spreadsheetml/2009/9/main" objectType="CheckBox" fmlaLink="Output!B61" lockText="1" noThreeD="1"/>
</file>

<file path=xl/ctrlProps/ctrlProp13.xml><?xml version="1.0" encoding="utf-8"?>
<formControlPr xmlns="http://schemas.microsoft.com/office/spreadsheetml/2009/9/main" objectType="CheckBox" checked="Checked" fmlaLink="Output!B48" lockText="1" noThreeD="1"/>
</file>

<file path=xl/ctrlProps/ctrlProp14.xml><?xml version="1.0" encoding="utf-8"?>
<formControlPr xmlns="http://schemas.microsoft.com/office/spreadsheetml/2009/9/main" objectType="CheckBox" checked="Checked" fmlaLink="Output!B70" lockText="1" noThreeD="1"/>
</file>

<file path=xl/ctrlProps/ctrlProp15.xml><?xml version="1.0" encoding="utf-8"?>
<formControlPr xmlns="http://schemas.microsoft.com/office/spreadsheetml/2009/9/main" objectType="CheckBox" fmlaLink="Output!B68" lockText="1" noThreeD="1"/>
</file>

<file path=xl/ctrlProps/ctrlProp16.xml><?xml version="1.0" encoding="utf-8"?>
<formControlPr xmlns="http://schemas.microsoft.com/office/spreadsheetml/2009/9/main" objectType="CheckBox" fmlaLink="Output!B76" lockText="1" noThreeD="1"/>
</file>

<file path=xl/ctrlProps/ctrlProp17.xml><?xml version="1.0" encoding="utf-8"?>
<formControlPr xmlns="http://schemas.microsoft.com/office/spreadsheetml/2009/9/main" objectType="CheckBox" fmlaLink="Output!B82" lockText="1" noThreeD="1"/>
</file>

<file path=xl/ctrlProps/ctrlProp18.xml><?xml version="1.0" encoding="utf-8"?>
<formControlPr xmlns="http://schemas.microsoft.com/office/spreadsheetml/2009/9/main" objectType="CheckBox" checked="Checked" fmlaLink="Output!B69" lockText="1" noThreeD="1"/>
</file>

<file path=xl/ctrlProps/ctrlProp19.xml><?xml version="1.0" encoding="utf-8"?>
<formControlPr xmlns="http://schemas.microsoft.com/office/spreadsheetml/2009/9/main" objectType="CheckBox" checked="Checked" fmlaLink="Output!B91" lockText="1" noThreeD="1"/>
</file>

<file path=xl/ctrlProps/ctrlProp20.xml><?xml version="1.0" encoding="utf-8"?>
<formControlPr xmlns="http://schemas.microsoft.com/office/spreadsheetml/2009/9/main" objectType="CheckBox" fmlaLink="Output!B89" lockText="1" noThreeD="1"/>
</file>

<file path=xl/ctrlProps/ctrlProp21.xml><?xml version="1.0" encoding="utf-8"?>
<formControlPr xmlns="http://schemas.microsoft.com/office/spreadsheetml/2009/9/main" objectType="CheckBox" fmlaLink="Output!B97" lockText="1" noThreeD="1"/>
</file>

<file path=xl/ctrlProps/ctrlProp22.xml><?xml version="1.0" encoding="utf-8"?>
<formControlPr xmlns="http://schemas.microsoft.com/office/spreadsheetml/2009/9/main" objectType="CheckBox" fmlaLink="Output!B103" lockText="1" noThreeD="1"/>
</file>

<file path=xl/ctrlProps/ctrlProp23.xml><?xml version="1.0" encoding="utf-8"?>
<formControlPr xmlns="http://schemas.microsoft.com/office/spreadsheetml/2009/9/main" objectType="CheckBox" checked="Checked" fmlaLink="Output!B90" lockText="1" noThreeD="1"/>
</file>

<file path=xl/ctrlProps/ctrlProp24.xml><?xml version="1.0" encoding="utf-8"?>
<formControlPr xmlns="http://schemas.microsoft.com/office/spreadsheetml/2009/9/main" objectType="CheckBox" checked="Checked" fmlaLink="Output!B111" lockText="1" noThreeD="1"/>
</file>

<file path=xl/ctrlProps/ctrlProp25.xml><?xml version="1.0" encoding="utf-8"?>
<formControlPr xmlns="http://schemas.microsoft.com/office/spreadsheetml/2009/9/main" objectType="CheckBox" fmlaLink="Output!B110" lockText="1" noThreeD="1"/>
</file>

<file path=xl/ctrlProps/ctrlProp26.xml><?xml version="1.0" encoding="utf-8"?>
<formControlPr xmlns="http://schemas.microsoft.com/office/spreadsheetml/2009/9/main" objectType="CheckBox" fmlaLink="Output!B117" lockText="1" noThreeD="1"/>
</file>

<file path=xl/ctrlProps/ctrlProp27.xml><?xml version="1.0" encoding="utf-8"?>
<formControlPr xmlns="http://schemas.microsoft.com/office/spreadsheetml/2009/9/main" objectType="CheckBox" fmlaLink="Output!B123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180975</xdr:rowOff>
        </xdr:from>
        <xdr:to>
          <xdr:col>1</xdr:col>
          <xdr:colOff>847725</xdr:colOff>
          <xdr:row>7</xdr:row>
          <xdr:rowOff>9525</xdr:rowOff>
        </xdr:to>
        <xdr:sp macro="" textlink="">
          <xdr:nvSpPr>
            <xdr:cNvPr id="18435" name="Check Box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0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</xdr:row>
          <xdr:rowOff>180975</xdr:rowOff>
        </xdr:from>
        <xdr:to>
          <xdr:col>1</xdr:col>
          <xdr:colOff>847725</xdr:colOff>
          <xdr:row>8</xdr:row>
          <xdr:rowOff>9525</xdr:rowOff>
        </xdr:to>
        <xdr:sp macro="" textlink="">
          <xdr:nvSpPr>
            <xdr:cNvPr id="18436" name="Check Box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0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1</xdr:col>
          <xdr:colOff>847725</xdr:colOff>
          <xdr:row>13</xdr:row>
          <xdr:rowOff>19050</xdr:rowOff>
        </xdr:to>
        <xdr:sp macro="" textlink="">
          <xdr:nvSpPr>
            <xdr:cNvPr id="18437" name="Check Box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0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180975</xdr:rowOff>
        </xdr:from>
        <xdr:to>
          <xdr:col>1</xdr:col>
          <xdr:colOff>847725</xdr:colOff>
          <xdr:row>17</xdr:row>
          <xdr:rowOff>9525</xdr:rowOff>
        </xdr:to>
        <xdr:sp macro="" textlink="">
          <xdr:nvSpPr>
            <xdr:cNvPr id="18438" name="Check Box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0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180975</xdr:rowOff>
        </xdr:from>
        <xdr:to>
          <xdr:col>1</xdr:col>
          <xdr:colOff>847725</xdr:colOff>
          <xdr:row>23</xdr:row>
          <xdr:rowOff>9525</xdr:rowOff>
        </xdr:to>
        <xdr:sp macro="" textlink="">
          <xdr:nvSpPr>
            <xdr:cNvPr id="18441" name="Check Box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0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180975</xdr:rowOff>
        </xdr:from>
        <xdr:to>
          <xdr:col>1</xdr:col>
          <xdr:colOff>847725</xdr:colOff>
          <xdr:row>24</xdr:row>
          <xdr:rowOff>9525</xdr:rowOff>
        </xdr:to>
        <xdr:sp macro="" textlink="">
          <xdr:nvSpPr>
            <xdr:cNvPr id="18442" name="Check Box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0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1</xdr:col>
          <xdr:colOff>847725</xdr:colOff>
          <xdr:row>29</xdr:row>
          <xdr:rowOff>19050</xdr:rowOff>
        </xdr:to>
        <xdr:sp macro="" textlink="">
          <xdr:nvSpPr>
            <xdr:cNvPr id="18443" name="Check Box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0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180975</xdr:rowOff>
        </xdr:from>
        <xdr:to>
          <xdr:col>1</xdr:col>
          <xdr:colOff>847725</xdr:colOff>
          <xdr:row>33</xdr:row>
          <xdr:rowOff>9525</xdr:rowOff>
        </xdr:to>
        <xdr:sp macro="" textlink="">
          <xdr:nvSpPr>
            <xdr:cNvPr id="18444" name="Check Box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0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180975</xdr:rowOff>
        </xdr:from>
        <xdr:to>
          <xdr:col>1</xdr:col>
          <xdr:colOff>847725</xdr:colOff>
          <xdr:row>39</xdr:row>
          <xdr:rowOff>9525</xdr:rowOff>
        </xdr:to>
        <xdr:sp macro="" textlink="">
          <xdr:nvSpPr>
            <xdr:cNvPr id="18446" name="Check Box 14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0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180975</xdr:rowOff>
        </xdr:from>
        <xdr:to>
          <xdr:col>1</xdr:col>
          <xdr:colOff>847725</xdr:colOff>
          <xdr:row>40</xdr:row>
          <xdr:rowOff>9525</xdr:rowOff>
        </xdr:to>
        <xdr:sp macro="" textlink="">
          <xdr:nvSpPr>
            <xdr:cNvPr id="18447" name="Check Box 15" hidden="1">
              <a:extLst>
                <a:ext uri="{63B3BB69-23CF-44E3-9099-C40C66FF867C}">
                  <a14:compatExt spid="_x0000_s18447"/>
                </a:ext>
                <a:ext uri="{FF2B5EF4-FFF2-40B4-BE49-F238E27FC236}">
                  <a16:creationId xmlns:a16="http://schemas.microsoft.com/office/drawing/2014/main" id="{00000000-0008-0000-0000-00000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</xdr:row>
          <xdr:rowOff>0</xdr:rowOff>
        </xdr:from>
        <xdr:to>
          <xdr:col>1</xdr:col>
          <xdr:colOff>847725</xdr:colOff>
          <xdr:row>46</xdr:row>
          <xdr:rowOff>19050</xdr:rowOff>
        </xdr:to>
        <xdr:sp macro="" textlink="">
          <xdr:nvSpPr>
            <xdr:cNvPr id="18448" name="Check Box 16" hidden="1">
              <a:extLst>
                <a:ext uri="{63B3BB69-23CF-44E3-9099-C40C66FF867C}">
                  <a14:compatExt spid="_x0000_s18448"/>
                </a:ext>
                <a:ext uri="{FF2B5EF4-FFF2-40B4-BE49-F238E27FC236}">
                  <a16:creationId xmlns:a16="http://schemas.microsoft.com/office/drawing/2014/main" id="{00000000-0008-0000-0000-00001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48</xdr:row>
          <xdr:rowOff>180975</xdr:rowOff>
        </xdr:from>
        <xdr:to>
          <xdr:col>1</xdr:col>
          <xdr:colOff>847725</xdr:colOff>
          <xdr:row>50</xdr:row>
          <xdr:rowOff>9525</xdr:rowOff>
        </xdr:to>
        <xdr:sp macro="" textlink="">
          <xdr:nvSpPr>
            <xdr:cNvPr id="18449" name="Check Box 17" hidden="1">
              <a:extLst>
                <a:ext uri="{63B3BB69-23CF-44E3-9099-C40C66FF867C}">
                  <a14:compatExt spid="_x0000_s18449"/>
                </a:ext>
                <a:ext uri="{FF2B5EF4-FFF2-40B4-BE49-F238E27FC236}">
                  <a16:creationId xmlns:a16="http://schemas.microsoft.com/office/drawing/2014/main" id="{00000000-0008-0000-0000-00001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180975</xdr:rowOff>
        </xdr:from>
        <xdr:to>
          <xdr:col>1</xdr:col>
          <xdr:colOff>847725</xdr:colOff>
          <xdr:row>41</xdr:row>
          <xdr:rowOff>9525</xdr:rowOff>
        </xdr:to>
        <xdr:sp macro="" textlink="">
          <xdr:nvSpPr>
            <xdr:cNvPr id="18450" name="Check Box 18" hidden="1">
              <a:extLst>
                <a:ext uri="{63B3BB69-23CF-44E3-9099-C40C66FF867C}">
                  <a14:compatExt spid="_x0000_s18450"/>
                </a:ext>
                <a:ext uri="{FF2B5EF4-FFF2-40B4-BE49-F238E27FC236}">
                  <a16:creationId xmlns:a16="http://schemas.microsoft.com/office/drawing/2014/main" id="{00000000-0008-0000-0000-00001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54</xdr:row>
          <xdr:rowOff>180975</xdr:rowOff>
        </xdr:from>
        <xdr:to>
          <xdr:col>1</xdr:col>
          <xdr:colOff>847725</xdr:colOff>
          <xdr:row>56</xdr:row>
          <xdr:rowOff>9525</xdr:rowOff>
        </xdr:to>
        <xdr:sp macro="" textlink="">
          <xdr:nvSpPr>
            <xdr:cNvPr id="18451" name="Check Box 19" hidden="1">
              <a:extLst>
                <a:ext uri="{63B3BB69-23CF-44E3-9099-C40C66FF867C}">
                  <a14:compatExt spid="_x0000_s18451"/>
                </a:ext>
                <a:ext uri="{FF2B5EF4-FFF2-40B4-BE49-F238E27FC236}">
                  <a16:creationId xmlns:a16="http://schemas.microsoft.com/office/drawing/2014/main" id="{00000000-0008-0000-0000-00001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55</xdr:row>
          <xdr:rowOff>180975</xdr:rowOff>
        </xdr:from>
        <xdr:to>
          <xdr:col>1</xdr:col>
          <xdr:colOff>847725</xdr:colOff>
          <xdr:row>57</xdr:row>
          <xdr:rowOff>9525</xdr:rowOff>
        </xdr:to>
        <xdr:sp macro="" textlink="">
          <xdr:nvSpPr>
            <xdr:cNvPr id="18452" name="Check Box 20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00000000-0008-0000-0000-00001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62</xdr:row>
          <xdr:rowOff>0</xdr:rowOff>
        </xdr:from>
        <xdr:to>
          <xdr:col>1</xdr:col>
          <xdr:colOff>847725</xdr:colOff>
          <xdr:row>63</xdr:row>
          <xdr:rowOff>19050</xdr:rowOff>
        </xdr:to>
        <xdr:sp macro="" textlink="">
          <xdr:nvSpPr>
            <xdr:cNvPr id="18453" name="Check Box 21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00000000-0008-0000-0000-00001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180975</xdr:rowOff>
        </xdr:from>
        <xdr:to>
          <xdr:col>1</xdr:col>
          <xdr:colOff>847725</xdr:colOff>
          <xdr:row>67</xdr:row>
          <xdr:rowOff>9525</xdr:rowOff>
        </xdr:to>
        <xdr:sp macro="" textlink="">
          <xdr:nvSpPr>
            <xdr:cNvPr id="18454" name="Check Box 22" hidden="1">
              <a:extLst>
                <a:ext uri="{63B3BB69-23CF-44E3-9099-C40C66FF867C}">
                  <a14:compatExt spid="_x0000_s18454"/>
                </a:ext>
                <a:ext uri="{FF2B5EF4-FFF2-40B4-BE49-F238E27FC236}">
                  <a16:creationId xmlns:a16="http://schemas.microsoft.com/office/drawing/2014/main" id="{00000000-0008-0000-0000-00001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56</xdr:row>
          <xdr:rowOff>180975</xdr:rowOff>
        </xdr:from>
        <xdr:to>
          <xdr:col>1</xdr:col>
          <xdr:colOff>847725</xdr:colOff>
          <xdr:row>58</xdr:row>
          <xdr:rowOff>9525</xdr:rowOff>
        </xdr:to>
        <xdr:sp macro="" textlink="">
          <xdr:nvSpPr>
            <xdr:cNvPr id="18455" name="Check Box 23" hidden="1">
              <a:extLst>
                <a:ext uri="{63B3BB69-23CF-44E3-9099-C40C66FF867C}">
                  <a14:compatExt spid="_x0000_s18455"/>
                </a:ext>
                <a:ext uri="{FF2B5EF4-FFF2-40B4-BE49-F238E27FC236}">
                  <a16:creationId xmlns:a16="http://schemas.microsoft.com/office/drawing/2014/main" id="{00000000-0008-0000-0000-00001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71</xdr:row>
          <xdr:rowOff>180975</xdr:rowOff>
        </xdr:from>
        <xdr:to>
          <xdr:col>1</xdr:col>
          <xdr:colOff>847725</xdr:colOff>
          <xdr:row>73</xdr:row>
          <xdr:rowOff>9525</xdr:rowOff>
        </xdr:to>
        <xdr:sp macro="" textlink="">
          <xdr:nvSpPr>
            <xdr:cNvPr id="18456" name="Check Box 24" hidden="1">
              <a:extLst>
                <a:ext uri="{63B3BB69-23CF-44E3-9099-C40C66FF867C}">
                  <a14:compatExt spid="_x0000_s18456"/>
                </a:ext>
                <a:ext uri="{FF2B5EF4-FFF2-40B4-BE49-F238E27FC236}">
                  <a16:creationId xmlns:a16="http://schemas.microsoft.com/office/drawing/2014/main" id="{00000000-0008-0000-0000-00001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72</xdr:row>
          <xdr:rowOff>180975</xdr:rowOff>
        </xdr:from>
        <xdr:to>
          <xdr:col>1</xdr:col>
          <xdr:colOff>847725</xdr:colOff>
          <xdr:row>74</xdr:row>
          <xdr:rowOff>9525</xdr:rowOff>
        </xdr:to>
        <xdr:sp macro="" textlink="">
          <xdr:nvSpPr>
            <xdr:cNvPr id="18457" name="Check Box 25" hidden="1">
              <a:extLst>
                <a:ext uri="{63B3BB69-23CF-44E3-9099-C40C66FF867C}">
                  <a14:compatExt spid="_x0000_s18457"/>
                </a:ext>
                <a:ext uri="{FF2B5EF4-FFF2-40B4-BE49-F238E27FC236}">
                  <a16:creationId xmlns:a16="http://schemas.microsoft.com/office/drawing/2014/main" id="{00000000-0008-0000-0000-00001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79</xdr:row>
          <xdr:rowOff>0</xdr:rowOff>
        </xdr:from>
        <xdr:to>
          <xdr:col>1</xdr:col>
          <xdr:colOff>847725</xdr:colOff>
          <xdr:row>80</xdr:row>
          <xdr:rowOff>19050</xdr:rowOff>
        </xdr:to>
        <xdr:sp macro="" textlink="">
          <xdr:nvSpPr>
            <xdr:cNvPr id="18458" name="Check Box 26" hidden="1">
              <a:extLst>
                <a:ext uri="{63B3BB69-23CF-44E3-9099-C40C66FF867C}">
                  <a14:compatExt spid="_x0000_s18458"/>
                </a:ext>
                <a:ext uri="{FF2B5EF4-FFF2-40B4-BE49-F238E27FC236}">
                  <a16:creationId xmlns:a16="http://schemas.microsoft.com/office/drawing/2014/main" id="{00000000-0008-0000-0000-00001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82</xdr:row>
          <xdr:rowOff>180975</xdr:rowOff>
        </xdr:from>
        <xdr:to>
          <xdr:col>1</xdr:col>
          <xdr:colOff>847725</xdr:colOff>
          <xdr:row>84</xdr:row>
          <xdr:rowOff>9525</xdr:rowOff>
        </xdr:to>
        <xdr:sp macro="" textlink="">
          <xdr:nvSpPr>
            <xdr:cNvPr id="18459" name="Check Box 27" hidden="1">
              <a:extLst>
                <a:ext uri="{63B3BB69-23CF-44E3-9099-C40C66FF867C}">
                  <a14:compatExt spid="_x0000_s18459"/>
                </a:ext>
                <a:ext uri="{FF2B5EF4-FFF2-40B4-BE49-F238E27FC236}">
                  <a16:creationId xmlns:a16="http://schemas.microsoft.com/office/drawing/2014/main" id="{00000000-0008-0000-0000-00001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73</xdr:row>
          <xdr:rowOff>180975</xdr:rowOff>
        </xdr:from>
        <xdr:to>
          <xdr:col>1</xdr:col>
          <xdr:colOff>847725</xdr:colOff>
          <xdr:row>75</xdr:row>
          <xdr:rowOff>9525</xdr:rowOff>
        </xdr:to>
        <xdr:sp macro="" textlink="">
          <xdr:nvSpPr>
            <xdr:cNvPr id="18460" name="Check Box 28" hidden="1">
              <a:extLst>
                <a:ext uri="{63B3BB69-23CF-44E3-9099-C40C66FF867C}">
                  <a14:compatExt spid="_x0000_s18460"/>
                </a:ext>
                <a:ext uri="{FF2B5EF4-FFF2-40B4-BE49-F238E27FC236}">
                  <a16:creationId xmlns:a16="http://schemas.microsoft.com/office/drawing/2014/main" id="{00000000-0008-0000-0000-00001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88</xdr:row>
          <xdr:rowOff>180975</xdr:rowOff>
        </xdr:from>
        <xdr:to>
          <xdr:col>1</xdr:col>
          <xdr:colOff>847725</xdr:colOff>
          <xdr:row>90</xdr:row>
          <xdr:rowOff>9525</xdr:rowOff>
        </xdr:to>
        <xdr:sp macro="" textlink="">
          <xdr:nvSpPr>
            <xdr:cNvPr id="18461" name="Check Box 29" hidden="1">
              <a:extLst>
                <a:ext uri="{63B3BB69-23CF-44E3-9099-C40C66FF867C}">
                  <a14:compatExt spid="_x0000_s18461"/>
                </a:ext>
                <a:ext uri="{FF2B5EF4-FFF2-40B4-BE49-F238E27FC236}">
                  <a16:creationId xmlns:a16="http://schemas.microsoft.com/office/drawing/2014/main" id="{00000000-0008-0000-0000-00001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89</xdr:row>
          <xdr:rowOff>180975</xdr:rowOff>
        </xdr:from>
        <xdr:to>
          <xdr:col>1</xdr:col>
          <xdr:colOff>847725</xdr:colOff>
          <xdr:row>91</xdr:row>
          <xdr:rowOff>9525</xdr:rowOff>
        </xdr:to>
        <xdr:sp macro="" textlink="">
          <xdr:nvSpPr>
            <xdr:cNvPr id="18462" name="Check Box 30" hidden="1">
              <a:extLst>
                <a:ext uri="{63B3BB69-23CF-44E3-9099-C40C66FF867C}">
                  <a14:compatExt spid="_x0000_s18462"/>
                </a:ext>
                <a:ext uri="{FF2B5EF4-FFF2-40B4-BE49-F238E27FC236}">
                  <a16:creationId xmlns:a16="http://schemas.microsoft.com/office/drawing/2014/main" id="{00000000-0008-0000-0000-00001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95</xdr:row>
          <xdr:rowOff>0</xdr:rowOff>
        </xdr:from>
        <xdr:to>
          <xdr:col>1</xdr:col>
          <xdr:colOff>847725</xdr:colOff>
          <xdr:row>96</xdr:row>
          <xdr:rowOff>19050</xdr:rowOff>
        </xdr:to>
        <xdr:sp macro="" textlink="">
          <xdr:nvSpPr>
            <xdr:cNvPr id="18463" name="Check Box 31" hidden="1">
              <a:extLst>
                <a:ext uri="{63B3BB69-23CF-44E3-9099-C40C66FF867C}">
                  <a14:compatExt spid="_x0000_s18463"/>
                </a:ext>
                <a:ext uri="{FF2B5EF4-FFF2-40B4-BE49-F238E27FC236}">
                  <a16:creationId xmlns:a16="http://schemas.microsoft.com/office/drawing/2014/main" id="{00000000-0008-0000-0000-00001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98</xdr:row>
          <xdr:rowOff>180975</xdr:rowOff>
        </xdr:from>
        <xdr:to>
          <xdr:col>1</xdr:col>
          <xdr:colOff>847725</xdr:colOff>
          <xdr:row>100</xdr:row>
          <xdr:rowOff>9525</xdr:rowOff>
        </xdr:to>
        <xdr:sp macro="" textlink="">
          <xdr:nvSpPr>
            <xdr:cNvPr id="18464" name="Check Box 32" hidden="1">
              <a:extLst>
                <a:ext uri="{63B3BB69-23CF-44E3-9099-C40C66FF867C}">
                  <a14:compatExt spid="_x0000_s18464"/>
                </a:ext>
                <a:ext uri="{FF2B5EF4-FFF2-40B4-BE49-F238E27FC236}">
                  <a16:creationId xmlns:a16="http://schemas.microsoft.com/office/drawing/2014/main" id="{00000000-0008-0000-0000-00002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4</xdr:row>
          <xdr:rowOff>190500</xdr:rowOff>
        </xdr:from>
        <xdr:to>
          <xdr:col>13</xdr:col>
          <xdr:colOff>600075</xdr:colOff>
          <xdr:row>7</xdr:row>
          <xdr:rowOff>66675</xdr:rowOff>
        </xdr:to>
        <xdr:sp macro="" textlink="">
          <xdr:nvSpPr>
            <xdr:cNvPr id="18466" name="CommandButton1" hidden="1">
              <a:extLst>
                <a:ext uri="{63B3BB69-23CF-44E3-9099-C40C66FF867C}">
                  <a14:compatExt spid="_x0000_s18466"/>
                </a:ext>
                <a:ext uri="{FF2B5EF4-FFF2-40B4-BE49-F238E27FC236}">
                  <a16:creationId xmlns:a16="http://schemas.microsoft.com/office/drawing/2014/main" id="{00000000-0008-0000-0000-00002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13</xdr:col>
          <xdr:colOff>285750</xdr:colOff>
          <xdr:row>1</xdr:row>
          <xdr:rowOff>85725</xdr:rowOff>
        </xdr:to>
        <xdr:sp macro="" textlink="">
          <xdr:nvSpPr>
            <xdr:cNvPr id="18471" name="CommandButton2" hidden="1">
              <a:extLst>
                <a:ext uri="{63B3BB69-23CF-44E3-9099-C40C66FF867C}">
                  <a14:compatExt spid="_x0000_s18471"/>
                </a:ext>
                <a:ext uri="{FF2B5EF4-FFF2-40B4-BE49-F238E27FC236}">
                  <a16:creationId xmlns:a16="http://schemas.microsoft.com/office/drawing/2014/main" id="{00000000-0008-0000-0000-00002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180975</xdr:rowOff>
        </xdr:from>
        <xdr:to>
          <xdr:col>13</xdr:col>
          <xdr:colOff>285750</xdr:colOff>
          <xdr:row>4</xdr:row>
          <xdr:rowOff>9525</xdr:rowOff>
        </xdr:to>
        <xdr:sp macro="" textlink="">
          <xdr:nvSpPr>
            <xdr:cNvPr id="18472" name="CommandButton3" hidden="1">
              <a:extLst>
                <a:ext uri="{63B3BB69-23CF-44E3-9099-C40C66FF867C}">
                  <a14:compatExt spid="_x0000_s18472"/>
                </a:ext>
                <a:ext uri="{FF2B5EF4-FFF2-40B4-BE49-F238E27FC236}">
                  <a16:creationId xmlns:a16="http://schemas.microsoft.com/office/drawing/2014/main" id="{00000000-0008-0000-0000-00002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19050</xdr:colOff>
          <xdr:row>1</xdr:row>
          <xdr:rowOff>19050</xdr:rowOff>
        </xdr:to>
        <xdr:sp macro="" textlink="">
          <xdr:nvSpPr>
            <xdr:cNvPr id="18473" name="CommandButton4" hidden="1">
              <a:extLst>
                <a:ext uri="{63B3BB69-23CF-44E3-9099-C40C66FF867C}">
                  <a14:compatExt spid="_x0000_s18473"/>
                </a:ext>
                <a:ext uri="{FF2B5EF4-FFF2-40B4-BE49-F238E27FC236}">
                  <a16:creationId xmlns:a16="http://schemas.microsoft.com/office/drawing/2014/main" id="{00000000-0008-0000-0000-00002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104</xdr:row>
          <xdr:rowOff>28575</xdr:rowOff>
        </xdr:from>
        <xdr:to>
          <xdr:col>2</xdr:col>
          <xdr:colOff>571500</xdr:colOff>
          <xdr:row>107</xdr:row>
          <xdr:rowOff>123825</xdr:rowOff>
        </xdr:to>
        <xdr:sp macro="" textlink="">
          <xdr:nvSpPr>
            <xdr:cNvPr id="18483" name="CommandButton7" hidden="1">
              <a:extLst>
                <a:ext uri="{63B3BB69-23CF-44E3-9099-C40C66FF867C}">
                  <a14:compatExt spid="_x0000_s18483"/>
                </a:ext>
                <a:ext uri="{FF2B5EF4-FFF2-40B4-BE49-F238E27FC236}">
                  <a16:creationId xmlns:a16="http://schemas.microsoft.com/office/drawing/2014/main" id="{00000000-0008-0000-0000-00003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revor Locke" id="{FD72CAB3-03B7-498E-8E52-34BE2BCDE07D}" userId="S::Trevor.Locke@genmills.com::054946e6-b22b-44d4-963e-b3b5e749bde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" dT="2021-05-18T22:45:06.22" personId="{FD72CAB3-03B7-498E-8E52-34BE2BCDE07D}" id="{9E9F5FF5-6803-4C9A-AEAA-237D33CE4C72}">
    <text>Enter production date, click button to insert today's date</text>
  </threadedComment>
  <threadedComment ref="B2" dT="2021-05-18T22:45:43.67" personId="{FD72CAB3-03B7-498E-8E52-34BE2BCDE07D}" id="{775CAF32-27CE-4C27-9CF6-F60DEFAB1A26}">
    <text>Enter MQIS initials</text>
  </threadedComment>
  <threadedComment ref="B11" dT="2021-05-18T22:47:02.90" personId="{FD72CAB3-03B7-498E-8E52-34BE2BCDE07D}" id="{8C22A38E-32E6-49F7-9B02-8311ACD534E9}">
    <text>Change to reflect the time the cans was pulled, DO NOT LEAVE A COMMA AT THE FRONT OR THE END. All checks must have a comma between them</text>
  </threadedComment>
  <threadedComment ref="B15" dT="2021-05-18T22:47:24.95" personId="{FD72CAB3-03B7-498E-8E52-34BE2BCDE07D}" id="{F98BA8FA-5784-4222-BEBE-1CBBCBA9BC34}">
    <text>Change to reflect the time the cans was pulled, DO NOT LEAVE A COMMA AT THE FRONT OR THE END. All checks must have a comma between them</text>
  </threadedComment>
  <threadedComment ref="B19" dT="2021-05-18T22:47:29.59" personId="{FD72CAB3-03B7-498E-8E52-34BE2BCDE07D}" id="{654D8553-FD86-4B15-B554-BF5147596498}">
    <text>Change to reflect the time the cans was pulled, DO NOT LEAVE A COMMA AT THE FRONT OR THE END. All checks must have a comma between them</text>
  </threadedComment>
  <threadedComment ref="B27" dT="2021-05-18T22:47:55.10" personId="{FD72CAB3-03B7-498E-8E52-34BE2BCDE07D}" id="{0A08ADFE-FD96-4217-829F-7D3A02B14A99}">
    <text>Change to reflect the time the cans was pulled, DO NOT LEAVE A COMMA AT THE FRONT OR THE END. All checks must have a comma between them</text>
  </threadedComment>
  <threadedComment ref="B31" dT="2021-05-18T22:47:58.98" personId="{FD72CAB3-03B7-498E-8E52-34BE2BCDE07D}" id="{7C446CA6-906C-4851-8766-4238B6CC9DE7}">
    <text>Change to reflect the time the cans was pulled, DO NOT LEAVE A COMMA AT THE FRONT OR THE END. All checks must have a comma between them</text>
  </threadedComment>
  <threadedComment ref="B35" dT="2021-05-18T22:48:03.79" personId="{FD72CAB3-03B7-498E-8E52-34BE2BCDE07D}" id="{B5006793-440A-4325-89AA-CD039D7AFA2D}">
    <text>Change to reflect the time the cans was pulled, DO NOT LEAVE A COMMA AT THE FRONT OR THE END. All checks must have a comma between them</text>
  </threadedComment>
  <threadedComment ref="B44" dT="2021-05-18T22:48:13.77" personId="{FD72CAB3-03B7-498E-8E52-34BE2BCDE07D}" id="{0A9F16EC-48FC-4556-A9E7-70C5DEDD2366}">
    <text>Change to reflect the time the cans was pulled, DO NOT LEAVE A COMMA AT THE FRONT OR THE END. All checks must have a comma between them</text>
  </threadedComment>
  <threadedComment ref="B48" dT="2021-05-18T22:48:23.00" personId="{FD72CAB3-03B7-498E-8E52-34BE2BCDE07D}" id="{6AB8273A-D6B3-4535-A5E1-D928E754C9E4}">
    <text>Change to reflect the time the cans was pulled, DO NOT LEAVE A COMMA AT THE FRONT OR THE END. All checks must have a comma between them</text>
  </threadedComment>
  <threadedComment ref="B52" dT="2021-05-18T22:48:26.70" personId="{FD72CAB3-03B7-498E-8E52-34BE2BCDE07D}" id="{826E5698-5204-48BC-AF7C-3E6D3ECD579F}">
    <text>Change to reflect the time the cans was pulled, DO NOT LEAVE A COMMA AT THE FRONT OR THE END. All checks must have a comma between them</text>
  </threadedComment>
  <threadedComment ref="B61" dT="2021-05-18T22:48:38.93" personId="{FD72CAB3-03B7-498E-8E52-34BE2BCDE07D}" id="{9ADFACD5-C0B7-4871-931C-369071368BFC}">
    <text>Change to reflect the time the cans was pulled, DO NOT LEAVE A COMMA AT THE FRONT OR THE END. All checks must have a comma between them</text>
  </threadedComment>
  <threadedComment ref="B65" dT="2021-05-18T22:48:44.94" personId="{FD72CAB3-03B7-498E-8E52-34BE2BCDE07D}" id="{3ACF6FF3-8658-4119-B4FE-2B7429F07194}">
    <text>Change to reflect the time the cans was pulled, DO NOT LEAVE A COMMA AT THE FRONT OR THE END. All checks must have a comma between them</text>
  </threadedComment>
  <threadedComment ref="B69" dT="2021-05-18T22:48:56.08" personId="{FD72CAB3-03B7-498E-8E52-34BE2BCDE07D}" id="{63FB6421-4385-4496-A281-90346419E819}">
    <text>Change to reflect the time the cans was pulled, DO NOT LEAVE A COMMA AT THE FRONT OR THE END. All checks must have a comma between them</text>
  </threadedComment>
  <threadedComment ref="B78" dT="2021-05-18T22:49:01.63" personId="{FD72CAB3-03B7-498E-8E52-34BE2BCDE07D}" id="{2F3A0B99-9565-4397-ABB8-64123C9E3D11}">
    <text>Change to reflect the time the cans was pulled, DO NOT LEAVE A COMMA AT THE FRONT OR THE END. All checks must have a comma between them</text>
  </threadedComment>
  <threadedComment ref="B82" dT="2021-05-18T22:49:04.95" personId="{FD72CAB3-03B7-498E-8E52-34BE2BCDE07D}" id="{0CCFC175-BA24-4ACC-9542-93694E4A9512}">
    <text>Change to reflect the time the cans was pulled, DO NOT LEAVE A COMMA AT THE FRONT OR THE END. All checks must have a comma between them</text>
  </threadedComment>
  <threadedComment ref="B86" dT="2021-05-18T22:49:08.37" personId="{FD72CAB3-03B7-498E-8E52-34BE2BCDE07D}" id="{E873754E-6D6D-4CB4-94CE-FCA00E8D4824}">
    <text>Change to reflect the time the cans was pulled, DO NOT LEAVE A COMMA AT THE FRONT OR THE END. All checks must have a comma between them</text>
  </threadedComment>
  <threadedComment ref="B94" dT="2021-05-18T22:49:13.27" personId="{FD72CAB3-03B7-498E-8E52-34BE2BCDE07D}" id="{4F048DEB-4A87-45FD-9A64-68213FFCA5E7}">
    <text>Change to reflect the time the cans was pulled, DO NOT LEAVE A COMMA AT THE FRONT OR THE END. All checks must have a comma between them</text>
  </threadedComment>
  <threadedComment ref="B98" dT="2021-05-18T22:49:16.66" personId="{FD72CAB3-03B7-498E-8E52-34BE2BCDE07D}" id="{31FDC21A-1350-424A-9F8B-40E399F49643}">
    <text>Change to reflect the time the cans was pulled, DO NOT LEAVE A COMMA AT THE FRONT OR THE END. All checks must have a comma between them</text>
  </threadedComment>
  <threadedComment ref="B102" dT="2021-05-18T22:49:20.17" personId="{FD72CAB3-03B7-498E-8E52-34BE2BCDE07D}" id="{0099382C-91D1-43A5-BA0E-DE71C2917BC1}">
    <text>Change to reflect the time the cans was pulled, DO NOT LEAVE A COMMA AT THE FRONT OR THE END. All checks must have a comma between them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26" Type="http://schemas.openxmlformats.org/officeDocument/2006/relationships/ctrlProp" Target="../ctrlProps/ctrlProp13.xml"/><Relationship Id="rId39" Type="http://schemas.openxmlformats.org/officeDocument/2006/relationships/ctrlProp" Target="../ctrlProps/ctrlProp2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8.xml"/><Relationship Id="rId34" Type="http://schemas.openxmlformats.org/officeDocument/2006/relationships/ctrlProp" Target="../ctrlProps/ctrlProp21.xml"/><Relationship Id="rId42" Type="http://schemas.microsoft.com/office/2017/10/relationships/threadedComment" Target="../threadedComments/threadedComment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5" Type="http://schemas.openxmlformats.org/officeDocument/2006/relationships/ctrlProp" Target="../ctrlProps/ctrlProp12.xml"/><Relationship Id="rId33" Type="http://schemas.openxmlformats.org/officeDocument/2006/relationships/ctrlProp" Target="../ctrlProps/ctrlProp20.xml"/><Relationship Id="rId38" Type="http://schemas.openxmlformats.org/officeDocument/2006/relationships/ctrlProp" Target="../ctrlProps/ctrlProp2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29" Type="http://schemas.openxmlformats.org/officeDocument/2006/relationships/ctrlProp" Target="../ctrlProps/ctrlProp16.xml"/><Relationship Id="rId4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1.xml"/><Relationship Id="rId32" Type="http://schemas.openxmlformats.org/officeDocument/2006/relationships/ctrlProp" Target="../ctrlProps/ctrlProp19.xml"/><Relationship Id="rId37" Type="http://schemas.openxmlformats.org/officeDocument/2006/relationships/ctrlProp" Target="../ctrlProps/ctrlProp24.xml"/><Relationship Id="rId40" Type="http://schemas.openxmlformats.org/officeDocument/2006/relationships/ctrlProp" Target="../ctrlProps/ctrlProp2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23" Type="http://schemas.openxmlformats.org/officeDocument/2006/relationships/ctrlProp" Target="../ctrlProps/ctrlProp10.xml"/><Relationship Id="rId28" Type="http://schemas.openxmlformats.org/officeDocument/2006/relationships/ctrlProp" Target="../ctrlProps/ctrlProp15.xml"/><Relationship Id="rId36" Type="http://schemas.openxmlformats.org/officeDocument/2006/relationships/ctrlProp" Target="../ctrlProps/ctrlProp23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6.xml"/><Relationship Id="rId31" Type="http://schemas.openxmlformats.org/officeDocument/2006/relationships/ctrlProp" Target="../ctrlProps/ctrlProp1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Relationship Id="rId22" Type="http://schemas.openxmlformats.org/officeDocument/2006/relationships/ctrlProp" Target="../ctrlProps/ctrlProp9.xml"/><Relationship Id="rId27" Type="http://schemas.openxmlformats.org/officeDocument/2006/relationships/ctrlProp" Target="../ctrlProps/ctrlProp14.xml"/><Relationship Id="rId30" Type="http://schemas.openxmlformats.org/officeDocument/2006/relationships/ctrlProp" Target="../ctrlProps/ctrlProp17.xml"/><Relationship Id="rId35" Type="http://schemas.openxmlformats.org/officeDocument/2006/relationships/ctrlProp" Target="../ctrlProps/ctrlProp2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FB71A-15AA-4991-9867-65C2983FFDEC}">
  <sheetPr codeName="Sheet8"/>
  <dimension ref="A1:R107"/>
  <sheetViews>
    <sheetView tabSelected="1" workbookViewId="0">
      <selection activeCell="A5" sqref="A5:D5"/>
    </sheetView>
  </sheetViews>
  <sheetFormatPr defaultRowHeight="15" x14ac:dyDescent="0.25"/>
  <cols>
    <col min="1" max="1" width="17.7109375" bestFit="1" customWidth="1"/>
    <col min="2" max="2" width="18.42578125" customWidth="1"/>
    <col min="12" max="12" width="21.140625" hidden="1" customWidth="1"/>
    <col min="13" max="17" width="9.140625" customWidth="1"/>
  </cols>
  <sheetData>
    <row r="1" spans="1:18" ht="24.75" customHeight="1" x14ac:dyDescent="0.25">
      <c r="A1" t="s">
        <v>88</v>
      </c>
      <c r="B1" s="14"/>
      <c r="D1" s="16"/>
      <c r="E1" s="16"/>
      <c r="F1" s="16"/>
      <c r="G1" s="16"/>
      <c r="H1" s="16"/>
      <c r="I1" s="16"/>
      <c r="J1" s="16"/>
      <c r="L1" s="5" t="str">
        <f>TEXT(B1, "mm/dd/yyyy")</f>
        <v>01/00/1900</v>
      </c>
      <c r="O1" s="18" t="s">
        <v>97</v>
      </c>
      <c r="P1" s="18"/>
      <c r="Q1" s="18"/>
      <c r="R1" s="18"/>
    </row>
    <row r="2" spans="1:18" x14ac:dyDescent="0.25">
      <c r="A2" t="s">
        <v>6</v>
      </c>
      <c r="B2" s="1"/>
      <c r="D2" s="16"/>
      <c r="E2" s="16"/>
      <c r="F2" s="16"/>
      <c r="G2" s="16"/>
      <c r="L2" s="3">
        <f>B1 + 1</f>
        <v>1</v>
      </c>
    </row>
    <row r="3" spans="1:18" x14ac:dyDescent="0.25">
      <c r="L3" t="str">
        <f>TEXT(L2, "m/d/yy")</f>
        <v>1/1/00</v>
      </c>
      <c r="O3" s="19" t="s">
        <v>98</v>
      </c>
      <c r="P3" s="19"/>
      <c r="Q3" s="19"/>
      <c r="R3" s="19"/>
    </row>
    <row r="4" spans="1:18" x14ac:dyDescent="0.25">
      <c r="L4" s="6">
        <f>B1 -1</f>
        <v>-1</v>
      </c>
      <c r="O4" s="19"/>
      <c r="P4" s="19"/>
      <c r="Q4" s="19"/>
      <c r="R4" s="19"/>
    </row>
    <row r="5" spans="1:18" ht="23.25" x14ac:dyDescent="0.35">
      <c r="A5" s="21" t="s">
        <v>7</v>
      </c>
      <c r="B5" s="21"/>
      <c r="C5" s="21"/>
      <c r="D5" s="21"/>
      <c r="L5" t="e">
        <f>TEXT(L4, "mm/dd/yyyy")</f>
        <v>#VALUE!</v>
      </c>
    </row>
    <row r="6" spans="1:18" x14ac:dyDescent="0.25">
      <c r="A6" s="4"/>
      <c r="B6" s="4"/>
      <c r="C6" s="4"/>
      <c r="D6" s="4"/>
      <c r="O6" s="16" t="s">
        <v>99</v>
      </c>
      <c r="P6" s="16"/>
      <c r="Q6" s="16"/>
      <c r="R6" s="16"/>
    </row>
    <row r="7" spans="1:18" x14ac:dyDescent="0.25">
      <c r="A7" t="s">
        <v>8</v>
      </c>
      <c r="C7" s="16" t="s">
        <v>89</v>
      </c>
      <c r="D7" s="16"/>
      <c r="E7" s="16"/>
      <c r="F7" s="16"/>
      <c r="G7" s="16"/>
      <c r="H7" s="16"/>
      <c r="O7" s="16"/>
      <c r="P7" s="16"/>
      <c r="Q7" s="16"/>
      <c r="R7" s="16"/>
    </row>
    <row r="8" spans="1:18" x14ac:dyDescent="0.25">
      <c r="A8" t="s">
        <v>9</v>
      </c>
      <c r="C8" s="16" t="s">
        <v>90</v>
      </c>
      <c r="D8" s="16"/>
      <c r="E8" s="16"/>
      <c r="F8" s="16"/>
      <c r="G8" s="16"/>
      <c r="H8" s="16"/>
    </row>
    <row r="10" spans="1:18" x14ac:dyDescent="0.25">
      <c r="A10" t="s">
        <v>10</v>
      </c>
      <c r="B10" s="13"/>
      <c r="C10" s="18" t="s">
        <v>95</v>
      </c>
      <c r="D10" s="18"/>
      <c r="E10" s="18"/>
      <c r="F10" s="18"/>
      <c r="G10" s="18"/>
      <c r="H10" s="18"/>
    </row>
    <row r="11" spans="1:18" x14ac:dyDescent="0.25">
      <c r="A11" t="s">
        <v>11</v>
      </c>
      <c r="B11" s="20" t="s">
        <v>103</v>
      </c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</row>
    <row r="13" spans="1:18" x14ac:dyDescent="0.25">
      <c r="A13" t="s">
        <v>12</v>
      </c>
      <c r="C13" s="18" t="s">
        <v>91</v>
      </c>
      <c r="D13" s="18"/>
      <c r="E13" s="18"/>
      <c r="F13" s="18"/>
      <c r="G13" s="18"/>
    </row>
    <row r="14" spans="1:18" x14ac:dyDescent="0.25">
      <c r="A14" t="s">
        <v>10</v>
      </c>
      <c r="B14" s="13"/>
      <c r="C14" s="18" t="s">
        <v>94</v>
      </c>
      <c r="D14" s="18"/>
      <c r="E14" s="18"/>
      <c r="F14" s="18"/>
      <c r="G14" s="18"/>
      <c r="H14" s="18"/>
    </row>
    <row r="15" spans="1:18" x14ac:dyDescent="0.25">
      <c r="A15" t="s">
        <v>11</v>
      </c>
      <c r="B15" s="20" t="s">
        <v>103</v>
      </c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</row>
    <row r="17" spans="1:17" x14ac:dyDescent="0.25">
      <c r="A17" t="s">
        <v>13</v>
      </c>
      <c r="C17" s="18" t="s">
        <v>92</v>
      </c>
      <c r="D17" s="18"/>
      <c r="E17" s="18"/>
      <c r="F17" s="18"/>
      <c r="G17" s="18"/>
      <c r="H17" s="18"/>
    </row>
    <row r="18" spans="1:17" x14ac:dyDescent="0.25">
      <c r="A18" t="s">
        <v>10</v>
      </c>
      <c r="B18" s="13"/>
      <c r="C18" s="18" t="s">
        <v>93</v>
      </c>
      <c r="D18" s="18"/>
      <c r="E18" s="18"/>
      <c r="F18" s="18"/>
      <c r="G18" s="18"/>
      <c r="H18" s="18"/>
    </row>
    <row r="19" spans="1:17" x14ac:dyDescent="0.25">
      <c r="A19" t="s">
        <v>11</v>
      </c>
      <c r="B19" s="20" t="s">
        <v>103</v>
      </c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</row>
    <row r="21" spans="1:17" ht="23.25" x14ac:dyDescent="0.35">
      <c r="A21" s="21" t="s">
        <v>15</v>
      </c>
      <c r="B21" s="21"/>
      <c r="C21" s="21"/>
      <c r="D21" s="21"/>
    </row>
    <row r="22" spans="1:17" x14ac:dyDescent="0.25">
      <c r="A22" s="4"/>
      <c r="B22" s="4"/>
      <c r="C22" s="4"/>
      <c r="D22" s="4"/>
      <c r="L22">
        <v>1</v>
      </c>
    </row>
    <row r="23" spans="1:17" x14ac:dyDescent="0.25">
      <c r="A23" t="s">
        <v>8</v>
      </c>
      <c r="C23" s="16" t="s">
        <v>89</v>
      </c>
      <c r="D23" s="16"/>
      <c r="E23" s="16"/>
      <c r="F23" s="16"/>
      <c r="G23" s="16"/>
      <c r="H23" s="16"/>
      <c r="L23" s="15">
        <v>0</v>
      </c>
    </row>
    <row r="24" spans="1:17" x14ac:dyDescent="0.25">
      <c r="A24" t="s">
        <v>9</v>
      </c>
      <c r="C24" s="16" t="s">
        <v>90</v>
      </c>
      <c r="D24" s="16"/>
      <c r="E24" s="16"/>
      <c r="F24" s="16"/>
      <c r="G24" s="16"/>
      <c r="H24" s="16"/>
    </row>
    <row r="26" spans="1:17" x14ac:dyDescent="0.25">
      <c r="A26" t="s">
        <v>10</v>
      </c>
      <c r="B26" s="11"/>
      <c r="C26" s="18" t="s">
        <v>95</v>
      </c>
      <c r="D26" s="18"/>
      <c r="E26" s="18"/>
      <c r="F26" s="18"/>
      <c r="G26" s="18"/>
      <c r="H26" s="18"/>
    </row>
    <row r="27" spans="1:17" x14ac:dyDescent="0.25">
      <c r="A27" t="s">
        <v>11</v>
      </c>
      <c r="B27" s="20" t="s">
        <v>103</v>
      </c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</row>
    <row r="29" spans="1:17" x14ac:dyDescent="0.25">
      <c r="A29" t="s">
        <v>12</v>
      </c>
      <c r="C29" s="18" t="s">
        <v>91</v>
      </c>
      <c r="D29" s="18"/>
      <c r="E29" s="18"/>
      <c r="F29" s="18"/>
      <c r="G29" s="18"/>
    </row>
    <row r="30" spans="1:17" x14ac:dyDescent="0.25">
      <c r="A30" t="s">
        <v>10</v>
      </c>
      <c r="B30" s="11"/>
      <c r="C30" s="18" t="s">
        <v>94</v>
      </c>
      <c r="D30" s="18"/>
      <c r="E30" s="18"/>
      <c r="F30" s="18"/>
      <c r="G30" s="18"/>
      <c r="H30" s="18"/>
    </row>
    <row r="31" spans="1:17" x14ac:dyDescent="0.25">
      <c r="A31" t="s">
        <v>11</v>
      </c>
      <c r="B31" s="20" t="s">
        <v>103</v>
      </c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</row>
    <row r="33" spans="1:17" x14ac:dyDescent="0.25">
      <c r="A33" t="s">
        <v>13</v>
      </c>
      <c r="C33" s="18" t="s">
        <v>92</v>
      </c>
      <c r="D33" s="18"/>
      <c r="E33" s="18"/>
      <c r="F33" s="18"/>
      <c r="G33" s="18"/>
      <c r="H33" s="18"/>
    </row>
    <row r="34" spans="1:17" x14ac:dyDescent="0.25">
      <c r="A34" t="s">
        <v>10</v>
      </c>
      <c r="B34" s="11"/>
      <c r="C34" s="18" t="s">
        <v>93</v>
      </c>
      <c r="D34" s="18"/>
      <c r="E34" s="18"/>
      <c r="F34" s="18"/>
      <c r="G34" s="18"/>
      <c r="H34" s="18"/>
    </row>
    <row r="35" spans="1:17" x14ac:dyDescent="0.25">
      <c r="A35" t="s">
        <v>11</v>
      </c>
      <c r="B35" s="20" t="s">
        <v>103</v>
      </c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</row>
    <row r="37" spans="1:17" ht="23.25" x14ac:dyDescent="0.35">
      <c r="A37" s="21" t="s">
        <v>16</v>
      </c>
      <c r="B37" s="21"/>
      <c r="C37" s="21"/>
      <c r="D37" s="21"/>
    </row>
    <row r="38" spans="1:17" x14ac:dyDescent="0.25">
      <c r="A38" s="4"/>
      <c r="B38" s="4"/>
      <c r="C38" s="4"/>
      <c r="D38" s="4"/>
    </row>
    <row r="39" spans="1:17" x14ac:dyDescent="0.25">
      <c r="A39" t="s">
        <v>8</v>
      </c>
      <c r="C39" s="16" t="s">
        <v>89</v>
      </c>
      <c r="D39" s="16"/>
      <c r="E39" s="16"/>
      <c r="F39" s="16"/>
      <c r="G39" s="16"/>
      <c r="H39" s="16"/>
    </row>
    <row r="40" spans="1:17" x14ac:dyDescent="0.25">
      <c r="A40" t="s">
        <v>9</v>
      </c>
      <c r="C40" s="16" t="s">
        <v>90</v>
      </c>
      <c r="D40" s="16"/>
      <c r="E40" s="16"/>
      <c r="F40" s="16"/>
      <c r="G40" s="16"/>
      <c r="H40" s="16"/>
    </row>
    <row r="41" spans="1:17" x14ac:dyDescent="0.25">
      <c r="A41" t="s">
        <v>14</v>
      </c>
      <c r="C41" s="18" t="s">
        <v>96</v>
      </c>
      <c r="D41" s="18"/>
      <c r="E41" s="18"/>
      <c r="F41" s="18"/>
      <c r="G41" s="18"/>
      <c r="H41" s="18"/>
    </row>
    <row r="43" spans="1:17" x14ac:dyDescent="0.25">
      <c r="A43" t="s">
        <v>10</v>
      </c>
      <c r="B43" s="11"/>
      <c r="C43" s="18" t="s">
        <v>95</v>
      </c>
      <c r="D43" s="18"/>
      <c r="E43" s="18"/>
      <c r="F43" s="18"/>
      <c r="G43" s="18"/>
      <c r="H43" s="18"/>
    </row>
    <row r="44" spans="1:17" x14ac:dyDescent="0.25">
      <c r="A44" t="s">
        <v>11</v>
      </c>
      <c r="B44" s="20" t="s">
        <v>103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</row>
    <row r="46" spans="1:17" x14ac:dyDescent="0.25">
      <c r="A46" t="s">
        <v>12</v>
      </c>
      <c r="C46" s="18" t="s">
        <v>91</v>
      </c>
      <c r="D46" s="18"/>
      <c r="E46" s="18"/>
      <c r="F46" s="18"/>
      <c r="G46" s="18"/>
    </row>
    <row r="47" spans="1:17" x14ac:dyDescent="0.25">
      <c r="A47" t="s">
        <v>10</v>
      </c>
      <c r="B47" s="11"/>
      <c r="C47" s="18" t="s">
        <v>94</v>
      </c>
      <c r="D47" s="18"/>
      <c r="E47" s="18"/>
      <c r="F47" s="18"/>
      <c r="G47" s="18"/>
      <c r="H47" s="18"/>
    </row>
    <row r="48" spans="1:17" x14ac:dyDescent="0.25">
      <c r="A48" t="s">
        <v>11</v>
      </c>
      <c r="B48" s="20" t="s">
        <v>103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</row>
    <row r="50" spans="1:17" x14ac:dyDescent="0.25">
      <c r="A50" t="s">
        <v>13</v>
      </c>
      <c r="C50" s="18" t="s">
        <v>92</v>
      </c>
      <c r="D50" s="18"/>
      <c r="E50" s="18"/>
      <c r="F50" s="18"/>
      <c r="G50" s="18"/>
      <c r="H50" s="18"/>
    </row>
    <row r="51" spans="1:17" x14ac:dyDescent="0.25">
      <c r="A51" t="s">
        <v>10</v>
      </c>
      <c r="B51" s="11"/>
      <c r="C51" s="18" t="s">
        <v>93</v>
      </c>
      <c r="D51" s="18"/>
      <c r="E51" s="18"/>
      <c r="F51" s="18"/>
      <c r="G51" s="18"/>
      <c r="H51" s="18"/>
    </row>
    <row r="52" spans="1:17" x14ac:dyDescent="0.25">
      <c r="A52" t="s">
        <v>11</v>
      </c>
      <c r="B52" s="20" t="s">
        <v>103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</row>
    <row r="54" spans="1:17" ht="23.25" x14ac:dyDescent="0.35">
      <c r="A54" s="21" t="s">
        <v>17</v>
      </c>
      <c r="B54" s="21"/>
      <c r="C54" s="21"/>
      <c r="D54" s="21"/>
    </row>
    <row r="55" spans="1:17" x14ac:dyDescent="0.25">
      <c r="A55" s="4"/>
      <c r="B55" s="4"/>
      <c r="C55" s="4"/>
      <c r="D55" s="4"/>
    </row>
    <row r="56" spans="1:17" x14ac:dyDescent="0.25">
      <c r="A56" t="s">
        <v>8</v>
      </c>
      <c r="C56" s="16" t="s">
        <v>89</v>
      </c>
      <c r="D56" s="16"/>
      <c r="E56" s="16"/>
      <c r="F56" s="16"/>
      <c r="G56" s="16"/>
      <c r="H56" s="16"/>
    </row>
    <row r="57" spans="1:17" x14ac:dyDescent="0.25">
      <c r="A57" t="s">
        <v>9</v>
      </c>
      <c r="C57" s="16" t="s">
        <v>90</v>
      </c>
      <c r="D57" s="16"/>
      <c r="E57" s="16"/>
      <c r="F57" s="16"/>
      <c r="G57" s="16"/>
      <c r="H57" s="16"/>
    </row>
    <row r="58" spans="1:17" x14ac:dyDescent="0.25">
      <c r="A58" t="s">
        <v>14</v>
      </c>
      <c r="C58" s="18" t="s">
        <v>96</v>
      </c>
      <c r="D58" s="18"/>
      <c r="E58" s="18"/>
      <c r="F58" s="18"/>
      <c r="G58" s="18"/>
      <c r="H58" s="18"/>
    </row>
    <row r="60" spans="1:17" x14ac:dyDescent="0.25">
      <c r="A60" t="s">
        <v>10</v>
      </c>
      <c r="B60" s="11"/>
      <c r="C60" s="18" t="s">
        <v>95</v>
      </c>
      <c r="D60" s="18"/>
      <c r="E60" s="18"/>
      <c r="F60" s="18"/>
      <c r="G60" s="18"/>
      <c r="H60" s="18"/>
    </row>
    <row r="61" spans="1:17" x14ac:dyDescent="0.25">
      <c r="A61" t="s">
        <v>11</v>
      </c>
      <c r="B61" s="20" t="s">
        <v>103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</row>
    <row r="63" spans="1:17" x14ac:dyDescent="0.25">
      <c r="A63" t="s">
        <v>12</v>
      </c>
      <c r="C63" s="18" t="s">
        <v>91</v>
      </c>
      <c r="D63" s="18"/>
      <c r="E63" s="18"/>
      <c r="F63" s="18"/>
      <c r="G63" s="18"/>
    </row>
    <row r="64" spans="1:17" x14ac:dyDescent="0.25">
      <c r="A64" t="s">
        <v>10</v>
      </c>
      <c r="B64" s="11"/>
      <c r="C64" s="18" t="s">
        <v>94</v>
      </c>
      <c r="D64" s="18"/>
      <c r="E64" s="18"/>
      <c r="F64" s="18"/>
      <c r="G64" s="18"/>
      <c r="H64" s="18"/>
    </row>
    <row r="65" spans="1:17" x14ac:dyDescent="0.25">
      <c r="A65" t="s">
        <v>11</v>
      </c>
      <c r="B65" s="20" t="s">
        <v>103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</row>
    <row r="67" spans="1:17" x14ac:dyDescent="0.25">
      <c r="A67" t="s">
        <v>13</v>
      </c>
      <c r="C67" s="18" t="s">
        <v>92</v>
      </c>
      <c r="D67" s="18"/>
      <c r="E67" s="18"/>
      <c r="F67" s="18"/>
      <c r="G67" s="18"/>
      <c r="H67" s="18"/>
    </row>
    <row r="68" spans="1:17" x14ac:dyDescent="0.25">
      <c r="A68" t="s">
        <v>10</v>
      </c>
      <c r="B68" s="11"/>
      <c r="C68" s="18" t="s">
        <v>93</v>
      </c>
      <c r="D68" s="18"/>
      <c r="E68" s="18"/>
      <c r="F68" s="18"/>
      <c r="G68" s="18"/>
      <c r="H68" s="18"/>
    </row>
    <row r="69" spans="1:17" x14ac:dyDescent="0.25">
      <c r="A69" t="s">
        <v>11</v>
      </c>
      <c r="B69" s="20" t="s">
        <v>103</v>
      </c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</row>
    <row r="71" spans="1:17" ht="23.25" x14ac:dyDescent="0.35">
      <c r="A71" s="21" t="s">
        <v>18</v>
      </c>
      <c r="B71" s="21"/>
      <c r="C71" s="21"/>
      <c r="D71" s="21"/>
    </row>
    <row r="72" spans="1:17" x14ac:dyDescent="0.25">
      <c r="A72" s="4"/>
      <c r="B72" s="4"/>
      <c r="C72" s="4"/>
      <c r="D72" s="4"/>
    </row>
    <row r="73" spans="1:17" x14ac:dyDescent="0.25">
      <c r="A73" t="s">
        <v>8</v>
      </c>
      <c r="C73" s="16" t="s">
        <v>89</v>
      </c>
      <c r="D73" s="16"/>
      <c r="E73" s="16"/>
      <c r="F73" s="16"/>
      <c r="G73" s="16"/>
      <c r="H73" s="16"/>
    </row>
    <row r="74" spans="1:17" x14ac:dyDescent="0.25">
      <c r="A74" t="s">
        <v>9</v>
      </c>
      <c r="C74" s="16" t="s">
        <v>90</v>
      </c>
      <c r="D74" s="16"/>
      <c r="E74" s="16"/>
      <c r="F74" s="16"/>
      <c r="G74" s="16"/>
      <c r="H74" s="16"/>
    </row>
    <row r="75" spans="1:17" x14ac:dyDescent="0.25">
      <c r="A75" t="s">
        <v>14</v>
      </c>
      <c r="C75" s="18" t="s">
        <v>96</v>
      </c>
      <c r="D75" s="18"/>
      <c r="E75" s="18"/>
      <c r="F75" s="18"/>
      <c r="G75" s="18"/>
      <c r="H75" s="18"/>
    </row>
    <row r="77" spans="1:17" x14ac:dyDescent="0.25">
      <c r="A77" t="s">
        <v>10</v>
      </c>
      <c r="B77" s="11"/>
      <c r="C77" s="18" t="s">
        <v>95</v>
      </c>
      <c r="D77" s="18"/>
      <c r="E77" s="18"/>
      <c r="F77" s="18"/>
      <c r="G77" s="18"/>
      <c r="H77" s="18"/>
    </row>
    <row r="78" spans="1:17" x14ac:dyDescent="0.25">
      <c r="A78" t="s">
        <v>11</v>
      </c>
      <c r="B78" s="20" t="s">
        <v>103</v>
      </c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</row>
    <row r="80" spans="1:17" x14ac:dyDescent="0.25">
      <c r="A80" t="s">
        <v>12</v>
      </c>
      <c r="C80" s="18" t="s">
        <v>91</v>
      </c>
      <c r="D80" s="18"/>
      <c r="E80" s="18"/>
      <c r="F80" s="18"/>
      <c r="G80" s="18"/>
    </row>
    <row r="81" spans="1:17" x14ac:dyDescent="0.25">
      <c r="A81" t="s">
        <v>10</v>
      </c>
      <c r="B81" s="11"/>
      <c r="C81" s="18" t="s">
        <v>94</v>
      </c>
      <c r="D81" s="18"/>
      <c r="E81" s="18"/>
      <c r="F81" s="18"/>
      <c r="G81" s="18"/>
      <c r="H81" s="18"/>
    </row>
    <row r="82" spans="1:17" x14ac:dyDescent="0.25">
      <c r="A82" t="s">
        <v>11</v>
      </c>
      <c r="B82" s="20" t="s">
        <v>103</v>
      </c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</row>
    <row r="84" spans="1:17" x14ac:dyDescent="0.25">
      <c r="A84" t="s">
        <v>13</v>
      </c>
      <c r="C84" s="18" t="s">
        <v>92</v>
      </c>
      <c r="D84" s="18"/>
      <c r="E84" s="18"/>
      <c r="F84" s="18"/>
      <c r="G84" s="18"/>
      <c r="H84" s="18"/>
    </row>
    <row r="85" spans="1:17" x14ac:dyDescent="0.25">
      <c r="A85" t="s">
        <v>10</v>
      </c>
      <c r="B85" s="11"/>
      <c r="C85" s="18" t="s">
        <v>93</v>
      </c>
      <c r="D85" s="18"/>
      <c r="E85" s="18"/>
      <c r="F85" s="18"/>
      <c r="G85" s="18"/>
      <c r="H85" s="18"/>
    </row>
    <row r="86" spans="1:17" x14ac:dyDescent="0.25">
      <c r="A86" t="s">
        <v>11</v>
      </c>
      <c r="B86" s="20" t="s">
        <v>103</v>
      </c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</row>
    <row r="88" spans="1:17" ht="23.25" x14ac:dyDescent="0.35">
      <c r="A88" s="21" t="s">
        <v>19</v>
      </c>
      <c r="B88" s="21"/>
      <c r="C88" s="21"/>
      <c r="D88" s="21"/>
    </row>
    <row r="89" spans="1:17" x14ac:dyDescent="0.25">
      <c r="A89" s="4"/>
      <c r="B89" s="4"/>
      <c r="C89" s="4"/>
      <c r="D89" s="4"/>
    </row>
    <row r="90" spans="1:17" x14ac:dyDescent="0.25">
      <c r="A90" t="s">
        <v>8</v>
      </c>
      <c r="C90" s="16" t="s">
        <v>89</v>
      </c>
      <c r="D90" s="16"/>
      <c r="E90" s="16"/>
      <c r="F90" s="16"/>
      <c r="G90" s="16"/>
      <c r="H90" s="16"/>
    </row>
    <row r="91" spans="1:17" x14ac:dyDescent="0.25">
      <c r="A91" t="s">
        <v>9</v>
      </c>
      <c r="C91" s="16" t="s">
        <v>90</v>
      </c>
      <c r="D91" s="16"/>
      <c r="E91" s="16"/>
      <c r="F91" s="16"/>
      <c r="G91" s="16"/>
      <c r="H91" s="16"/>
    </row>
    <row r="93" spans="1:17" x14ac:dyDescent="0.25">
      <c r="A93" t="s">
        <v>10</v>
      </c>
      <c r="B93" s="11"/>
      <c r="C93" s="18" t="s">
        <v>95</v>
      </c>
      <c r="D93" s="18"/>
      <c r="E93" s="18"/>
      <c r="F93" s="18"/>
      <c r="G93" s="18"/>
      <c r="H93" s="18"/>
    </row>
    <row r="94" spans="1:17" x14ac:dyDescent="0.25">
      <c r="A94" t="s">
        <v>11</v>
      </c>
      <c r="B94" s="20" t="s">
        <v>103</v>
      </c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</row>
    <row r="96" spans="1:17" x14ac:dyDescent="0.25">
      <c r="A96" t="s">
        <v>12</v>
      </c>
      <c r="C96" s="18" t="s">
        <v>91</v>
      </c>
      <c r="D96" s="18"/>
      <c r="E96" s="18"/>
      <c r="F96" s="18"/>
      <c r="G96" s="18"/>
    </row>
    <row r="97" spans="1:17" x14ac:dyDescent="0.25">
      <c r="A97" t="s">
        <v>10</v>
      </c>
      <c r="B97" s="11"/>
      <c r="C97" s="18" t="s">
        <v>94</v>
      </c>
      <c r="D97" s="18"/>
      <c r="E97" s="18"/>
      <c r="F97" s="18"/>
      <c r="G97" s="18"/>
      <c r="H97" s="18"/>
    </row>
    <row r="98" spans="1:17" x14ac:dyDescent="0.25">
      <c r="A98" t="s">
        <v>11</v>
      </c>
      <c r="B98" s="20" t="s">
        <v>103</v>
      </c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</row>
    <row r="100" spans="1:17" x14ac:dyDescent="0.25">
      <c r="A100" t="s">
        <v>13</v>
      </c>
      <c r="C100" s="18" t="s">
        <v>92</v>
      </c>
      <c r="D100" s="18"/>
      <c r="E100" s="18"/>
      <c r="F100" s="18"/>
      <c r="G100" s="18"/>
      <c r="H100" s="18"/>
    </row>
    <row r="101" spans="1:17" x14ac:dyDescent="0.25">
      <c r="A101" t="s">
        <v>10</v>
      </c>
      <c r="B101" s="11"/>
      <c r="C101" s="18" t="s">
        <v>93</v>
      </c>
      <c r="D101" s="18"/>
      <c r="E101" s="18"/>
      <c r="F101" s="18"/>
      <c r="G101" s="18"/>
      <c r="H101" s="18"/>
    </row>
    <row r="102" spans="1:17" x14ac:dyDescent="0.25">
      <c r="A102" t="s">
        <v>11</v>
      </c>
      <c r="B102" s="20" t="s">
        <v>103</v>
      </c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</row>
    <row r="105" spans="1:17" x14ac:dyDescent="0.25">
      <c r="D105" s="16" t="s">
        <v>100</v>
      </c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7" x14ac:dyDescent="0.25">
      <c r="D106" s="17" t="s">
        <v>102</v>
      </c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</row>
    <row r="107" spans="1:17" x14ac:dyDescent="0.25">
      <c r="D107" s="16" t="s">
        <v>101</v>
      </c>
      <c r="E107" s="16"/>
      <c r="F107" s="16"/>
      <c r="G107" s="16"/>
      <c r="H107" s="16"/>
      <c r="I107" s="16"/>
      <c r="J107" s="16"/>
    </row>
  </sheetData>
  <mergeCells count="77">
    <mergeCell ref="B102:Q102"/>
    <mergeCell ref="B69:Q69"/>
    <mergeCell ref="B78:Q78"/>
    <mergeCell ref="B82:Q82"/>
    <mergeCell ref="B86:Q86"/>
    <mergeCell ref="B94:Q94"/>
    <mergeCell ref="B98:Q98"/>
    <mergeCell ref="A88:D88"/>
    <mergeCell ref="A71:D71"/>
    <mergeCell ref="C93:H93"/>
    <mergeCell ref="C97:H97"/>
    <mergeCell ref="C101:H101"/>
    <mergeCell ref="C90:H90"/>
    <mergeCell ref="C91:H91"/>
    <mergeCell ref="C96:G96"/>
    <mergeCell ref="C100:H100"/>
    <mergeCell ref="A54:D54"/>
    <mergeCell ref="B52:Q52"/>
    <mergeCell ref="B61:Q61"/>
    <mergeCell ref="B65:Q65"/>
    <mergeCell ref="A37:D37"/>
    <mergeCell ref="C51:H51"/>
    <mergeCell ref="C60:H60"/>
    <mergeCell ref="C46:G46"/>
    <mergeCell ref="C50:H50"/>
    <mergeCell ref="C56:H56"/>
    <mergeCell ref="C57:H57"/>
    <mergeCell ref="C58:H58"/>
    <mergeCell ref="C63:G63"/>
    <mergeCell ref="C47:H47"/>
    <mergeCell ref="B19:Q19"/>
    <mergeCell ref="B27:Q27"/>
    <mergeCell ref="B31:Q31"/>
    <mergeCell ref="A21:D21"/>
    <mergeCell ref="C43:H43"/>
    <mergeCell ref="C33:H33"/>
    <mergeCell ref="C34:H34"/>
    <mergeCell ref="C39:H39"/>
    <mergeCell ref="C40:H40"/>
    <mergeCell ref="C41:H41"/>
    <mergeCell ref="D2:G2"/>
    <mergeCell ref="C7:H7"/>
    <mergeCell ref="C8:H8"/>
    <mergeCell ref="A5:D5"/>
    <mergeCell ref="D1:J1"/>
    <mergeCell ref="C84:H84"/>
    <mergeCell ref="C10:H10"/>
    <mergeCell ref="C14:H14"/>
    <mergeCell ref="C18:H18"/>
    <mergeCell ref="C26:H26"/>
    <mergeCell ref="C30:H30"/>
    <mergeCell ref="C13:G13"/>
    <mergeCell ref="C17:H17"/>
    <mergeCell ref="C23:H23"/>
    <mergeCell ref="C24:H24"/>
    <mergeCell ref="C29:G29"/>
    <mergeCell ref="B35:Q35"/>
    <mergeCell ref="B44:Q44"/>
    <mergeCell ref="B48:Q48"/>
    <mergeCell ref="B11:Q11"/>
    <mergeCell ref="B15:Q15"/>
    <mergeCell ref="D105:M105"/>
    <mergeCell ref="D107:J107"/>
    <mergeCell ref="D106:O106"/>
    <mergeCell ref="O1:R1"/>
    <mergeCell ref="O3:R4"/>
    <mergeCell ref="O6:R7"/>
    <mergeCell ref="C68:H68"/>
    <mergeCell ref="C81:H81"/>
    <mergeCell ref="C85:H85"/>
    <mergeCell ref="C77:H77"/>
    <mergeCell ref="C64:H64"/>
    <mergeCell ref="C67:H67"/>
    <mergeCell ref="C73:H73"/>
    <mergeCell ref="C74:H74"/>
    <mergeCell ref="C75:H75"/>
    <mergeCell ref="C80:G80"/>
  </mergeCells>
  <dataValidations xWindow="261" yWindow="351" count="9">
    <dataValidation type="list" allowBlank="1" showInputMessage="1" showErrorMessage="1" sqref="B10 B14 B18" xr:uid="{28B6A21D-1C9D-4E51-A8E6-E46E48CDE6A6}">
      <formula1>L1P</formula1>
    </dataValidation>
    <dataValidation type="list" allowBlank="1" showInputMessage="1" showErrorMessage="1" sqref="B30 B26 B34" xr:uid="{47A91967-A6D4-4E68-8D13-022FD4FF8FC6}">
      <formula1>L2P</formula1>
    </dataValidation>
    <dataValidation type="list" allowBlank="1" showInputMessage="1" showErrorMessage="1" sqref="B47 B43 B51" xr:uid="{BC87726B-A96E-4F9E-911A-1415662F5D05}">
      <formula1>L3P</formula1>
    </dataValidation>
    <dataValidation type="list" allowBlank="1" showInputMessage="1" showErrorMessage="1" sqref="B64 B60 B68" xr:uid="{293698BD-94DE-49FB-83D6-A4DD14CD957B}">
      <formula1>L5P</formula1>
    </dataValidation>
    <dataValidation type="list" allowBlank="1" showInputMessage="1" showErrorMessage="1" sqref="B85 B81 B77" xr:uid="{52635F2F-ADFC-4687-8F04-19207F80AE8D}">
      <formula1>L6P</formula1>
    </dataValidation>
    <dataValidation type="list" allowBlank="1" showInputMessage="1" showErrorMessage="1" sqref="B101" xr:uid="{BA52B168-C4EC-4BB4-B424-E73360356E9E}">
      <formula1>L7Prod</formula1>
    </dataValidation>
    <dataValidation type="list" allowBlank="1" showInputMessage="1" showErrorMessage="1" sqref="B93 B97" xr:uid="{E0E4472C-DB0D-4545-8E53-D25161D8B30F}">
      <formula1>L7P</formula1>
    </dataValidation>
    <dataValidation allowBlank="1" showInputMessage="1" showErrorMessage="1" prompt="Enter production date, click button to insert today's date" sqref="B1" xr:uid="{0287F833-F8E4-4B01-A2D7-5E3F304108BD}"/>
    <dataValidation allowBlank="1" showInputMessage="1" showErrorMessage="1" prompt="Enter MQIS initials " sqref="B2" xr:uid="{67BE467F-2F0C-4B5D-A625-909E872C3812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8483" r:id="rId4" name="CommandButton7">
          <controlPr defaultSize="0" autoLine="0" r:id="rId5">
            <anchor moveWithCells="1">
              <from>
                <xdr:col>1</xdr:col>
                <xdr:colOff>57150</xdr:colOff>
                <xdr:row>104</xdr:row>
                <xdr:rowOff>28575</xdr:rowOff>
              </from>
              <to>
                <xdr:col>2</xdr:col>
                <xdr:colOff>571500</xdr:colOff>
                <xdr:row>107</xdr:row>
                <xdr:rowOff>123825</xdr:rowOff>
              </to>
            </anchor>
          </controlPr>
        </control>
      </mc:Choice>
      <mc:Fallback>
        <control shapeId="18483" r:id="rId4" name="CommandButton7"/>
      </mc:Fallback>
    </mc:AlternateContent>
    <mc:AlternateContent xmlns:mc="http://schemas.openxmlformats.org/markup-compatibility/2006">
      <mc:Choice Requires="x14">
        <control shapeId="18473" r:id="rId6" name="CommandButton4">
          <controlPr defaultSize="0" autoLine="0" autoPict="0" r:id="rId7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3</xdr:col>
                <xdr:colOff>19050</xdr:colOff>
                <xdr:row>1</xdr:row>
                <xdr:rowOff>19050</xdr:rowOff>
              </to>
            </anchor>
          </controlPr>
        </control>
      </mc:Choice>
      <mc:Fallback>
        <control shapeId="18473" r:id="rId6" name="CommandButton4"/>
      </mc:Fallback>
    </mc:AlternateContent>
    <mc:AlternateContent xmlns:mc="http://schemas.openxmlformats.org/markup-compatibility/2006">
      <mc:Choice Requires="x14">
        <control shapeId="18472" r:id="rId8" name="CommandButton3">
          <controlPr defaultSize="0" autoLine="0" r:id="rId9">
            <anchor moveWithCells="1">
              <from>
                <xdr:col>10</xdr:col>
                <xdr:colOff>0</xdr:colOff>
                <xdr:row>1</xdr:row>
                <xdr:rowOff>180975</xdr:rowOff>
              </from>
              <to>
                <xdr:col>13</xdr:col>
                <xdr:colOff>285750</xdr:colOff>
                <xdr:row>4</xdr:row>
                <xdr:rowOff>9525</xdr:rowOff>
              </to>
            </anchor>
          </controlPr>
        </control>
      </mc:Choice>
      <mc:Fallback>
        <control shapeId="18472" r:id="rId8" name="CommandButton3"/>
      </mc:Fallback>
    </mc:AlternateContent>
    <mc:AlternateContent xmlns:mc="http://schemas.openxmlformats.org/markup-compatibility/2006">
      <mc:Choice Requires="x14">
        <control shapeId="18471" r:id="rId10" name="CommandButton2">
          <controlPr defaultSize="0" autoLine="0" r:id="rId11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13</xdr:col>
                <xdr:colOff>285750</xdr:colOff>
                <xdr:row>1</xdr:row>
                <xdr:rowOff>85725</xdr:rowOff>
              </to>
            </anchor>
          </controlPr>
        </control>
      </mc:Choice>
      <mc:Fallback>
        <control shapeId="18471" r:id="rId10" name="CommandButton2"/>
      </mc:Fallback>
    </mc:AlternateContent>
    <mc:AlternateContent xmlns:mc="http://schemas.openxmlformats.org/markup-compatibility/2006">
      <mc:Choice Requires="x14">
        <control shapeId="18466" r:id="rId12" name="CommandButton1">
          <controlPr defaultSize="0" autoLine="0" r:id="rId13">
            <anchor moveWithCells="1">
              <from>
                <xdr:col>9</xdr:col>
                <xdr:colOff>600075</xdr:colOff>
                <xdr:row>4</xdr:row>
                <xdr:rowOff>190500</xdr:rowOff>
              </from>
              <to>
                <xdr:col>13</xdr:col>
                <xdr:colOff>600075</xdr:colOff>
                <xdr:row>7</xdr:row>
                <xdr:rowOff>66675</xdr:rowOff>
              </to>
            </anchor>
          </controlPr>
        </control>
      </mc:Choice>
      <mc:Fallback>
        <control shapeId="18466" r:id="rId12" name="CommandButton1"/>
      </mc:Fallback>
    </mc:AlternateContent>
    <mc:AlternateContent xmlns:mc="http://schemas.openxmlformats.org/markup-compatibility/2006">
      <mc:Choice Requires="x14">
        <control shapeId="18435" r:id="rId14" name="Check Box 3">
          <controlPr defaultSize="0" autoFill="0" autoLine="0" autoPict="0">
            <anchor moveWithCells="1">
              <from>
                <xdr:col>1</xdr:col>
                <xdr:colOff>47625</xdr:colOff>
                <xdr:row>5</xdr:row>
                <xdr:rowOff>180975</xdr:rowOff>
              </from>
              <to>
                <xdr:col>1</xdr:col>
                <xdr:colOff>847725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6" r:id="rId15" name="Check Box 4">
          <controlPr defaultSize="0" autoFill="0" autoLine="0" autoPict="0">
            <anchor moveWithCells="1">
              <from>
                <xdr:col>1</xdr:col>
                <xdr:colOff>47625</xdr:colOff>
                <xdr:row>6</xdr:row>
                <xdr:rowOff>180975</xdr:rowOff>
              </from>
              <to>
                <xdr:col>1</xdr:col>
                <xdr:colOff>847725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7" r:id="rId16" name="Check Box 5">
          <controlPr defaultSize="0" autoFill="0" autoLine="0" autoPict="0">
            <anchor moveWithCells="1">
              <from>
                <xdr:col>1</xdr:col>
                <xdr:colOff>47625</xdr:colOff>
                <xdr:row>12</xdr:row>
                <xdr:rowOff>0</xdr:rowOff>
              </from>
              <to>
                <xdr:col>1</xdr:col>
                <xdr:colOff>847725</xdr:colOff>
                <xdr:row>13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8" r:id="rId17" name="Check Box 6">
          <controlPr defaultSize="0" autoFill="0" autoLine="0" autoPict="0">
            <anchor moveWithCells="1">
              <from>
                <xdr:col>1</xdr:col>
                <xdr:colOff>47625</xdr:colOff>
                <xdr:row>15</xdr:row>
                <xdr:rowOff>180975</xdr:rowOff>
              </from>
              <to>
                <xdr:col>1</xdr:col>
                <xdr:colOff>847725</xdr:colOff>
                <xdr:row>17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1" r:id="rId18" name="Check Box 9">
          <controlPr defaultSize="0" autoFill="0" autoLine="0" autoPict="0">
            <anchor moveWithCells="1">
              <from>
                <xdr:col>1</xdr:col>
                <xdr:colOff>47625</xdr:colOff>
                <xdr:row>21</xdr:row>
                <xdr:rowOff>180975</xdr:rowOff>
              </from>
              <to>
                <xdr:col>1</xdr:col>
                <xdr:colOff>847725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2" r:id="rId19" name="Check Box 10">
          <controlPr defaultSize="0" autoFill="0" autoLine="0" autoPict="0">
            <anchor moveWithCells="1">
              <from>
                <xdr:col>1</xdr:col>
                <xdr:colOff>47625</xdr:colOff>
                <xdr:row>22</xdr:row>
                <xdr:rowOff>180975</xdr:rowOff>
              </from>
              <to>
                <xdr:col>1</xdr:col>
                <xdr:colOff>847725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3" r:id="rId20" name="Check Box 11">
          <controlPr defaultSize="0" autoFill="0" autoLine="0" autoPict="0">
            <anchor moveWithCells="1">
              <from>
                <xdr:col>1</xdr:col>
                <xdr:colOff>47625</xdr:colOff>
                <xdr:row>28</xdr:row>
                <xdr:rowOff>0</xdr:rowOff>
              </from>
              <to>
                <xdr:col>1</xdr:col>
                <xdr:colOff>847725</xdr:colOff>
                <xdr:row>29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4" r:id="rId21" name="Check Box 12">
          <controlPr defaultSize="0" autoFill="0" autoLine="0" autoPict="0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1</xdr:col>
                <xdr:colOff>847725</xdr:colOff>
                <xdr:row>33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6" r:id="rId22" name="Check Box 14">
          <controlPr defaultSize="0" autoFill="0" autoLine="0" autoPict="0">
            <anchor moveWithCells="1">
              <from>
                <xdr:col>1</xdr:col>
                <xdr:colOff>47625</xdr:colOff>
                <xdr:row>37</xdr:row>
                <xdr:rowOff>180975</xdr:rowOff>
              </from>
              <to>
                <xdr:col>1</xdr:col>
                <xdr:colOff>847725</xdr:colOff>
                <xdr:row>39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7" r:id="rId23" name="Check Box 15">
          <controlPr defaultSize="0" autoFill="0" autoLine="0" autoPict="0">
            <anchor moveWithCells="1">
              <from>
                <xdr:col>1</xdr:col>
                <xdr:colOff>47625</xdr:colOff>
                <xdr:row>38</xdr:row>
                <xdr:rowOff>180975</xdr:rowOff>
              </from>
              <to>
                <xdr:col>1</xdr:col>
                <xdr:colOff>847725</xdr:colOff>
                <xdr:row>40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8" r:id="rId24" name="Check Box 16">
          <controlPr defaultSize="0" autoFill="0" autoLine="0" autoPict="0">
            <anchor moveWithCells="1">
              <from>
                <xdr:col>1</xdr:col>
                <xdr:colOff>47625</xdr:colOff>
                <xdr:row>45</xdr:row>
                <xdr:rowOff>0</xdr:rowOff>
              </from>
              <to>
                <xdr:col>1</xdr:col>
                <xdr:colOff>847725</xdr:colOff>
                <xdr:row>46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9" r:id="rId25" name="Check Box 17">
          <controlPr defaultSize="0" autoFill="0" autoLine="0" autoPict="0">
            <anchor moveWithCells="1">
              <from>
                <xdr:col>1</xdr:col>
                <xdr:colOff>47625</xdr:colOff>
                <xdr:row>48</xdr:row>
                <xdr:rowOff>180975</xdr:rowOff>
              </from>
              <to>
                <xdr:col>1</xdr:col>
                <xdr:colOff>847725</xdr:colOff>
                <xdr:row>50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0" r:id="rId26" name="Check Box 18">
          <controlPr defaultSize="0" autoFill="0" autoLine="0" autoPict="0">
            <anchor moveWithCells="1">
              <from>
                <xdr:col>1</xdr:col>
                <xdr:colOff>47625</xdr:colOff>
                <xdr:row>39</xdr:row>
                <xdr:rowOff>180975</xdr:rowOff>
              </from>
              <to>
                <xdr:col>1</xdr:col>
                <xdr:colOff>847725</xdr:colOff>
                <xdr:row>41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1" r:id="rId27" name="Check Box 19">
          <controlPr defaultSize="0" autoFill="0" autoLine="0" autoPict="0">
            <anchor moveWithCells="1">
              <from>
                <xdr:col>1</xdr:col>
                <xdr:colOff>47625</xdr:colOff>
                <xdr:row>54</xdr:row>
                <xdr:rowOff>180975</xdr:rowOff>
              </from>
              <to>
                <xdr:col>1</xdr:col>
                <xdr:colOff>847725</xdr:colOff>
                <xdr:row>56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2" r:id="rId28" name="Check Box 20">
          <controlPr defaultSize="0" autoFill="0" autoLine="0" autoPict="0">
            <anchor moveWithCells="1">
              <from>
                <xdr:col>1</xdr:col>
                <xdr:colOff>47625</xdr:colOff>
                <xdr:row>55</xdr:row>
                <xdr:rowOff>180975</xdr:rowOff>
              </from>
              <to>
                <xdr:col>1</xdr:col>
                <xdr:colOff>847725</xdr:colOff>
                <xdr:row>57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3" r:id="rId29" name="Check Box 21">
          <controlPr defaultSize="0" autoFill="0" autoLine="0" autoPict="0">
            <anchor moveWithCells="1">
              <from>
                <xdr:col>1</xdr:col>
                <xdr:colOff>47625</xdr:colOff>
                <xdr:row>62</xdr:row>
                <xdr:rowOff>0</xdr:rowOff>
              </from>
              <to>
                <xdr:col>1</xdr:col>
                <xdr:colOff>847725</xdr:colOff>
                <xdr:row>63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4" r:id="rId30" name="Check Box 22">
          <controlPr defaultSize="0" autoFill="0" autoLine="0" autoPict="0">
            <anchor moveWithCells="1">
              <from>
                <xdr:col>1</xdr:col>
                <xdr:colOff>47625</xdr:colOff>
                <xdr:row>65</xdr:row>
                <xdr:rowOff>180975</xdr:rowOff>
              </from>
              <to>
                <xdr:col>1</xdr:col>
                <xdr:colOff>847725</xdr:colOff>
                <xdr:row>67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5" r:id="rId31" name="Check Box 23">
          <controlPr defaultSize="0" autoFill="0" autoLine="0" autoPict="0">
            <anchor moveWithCells="1">
              <from>
                <xdr:col>1</xdr:col>
                <xdr:colOff>47625</xdr:colOff>
                <xdr:row>56</xdr:row>
                <xdr:rowOff>180975</xdr:rowOff>
              </from>
              <to>
                <xdr:col>1</xdr:col>
                <xdr:colOff>847725</xdr:colOff>
                <xdr:row>58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6" r:id="rId32" name="Check Box 24">
          <controlPr defaultSize="0" autoFill="0" autoLine="0" autoPict="0">
            <anchor moveWithCells="1">
              <from>
                <xdr:col>1</xdr:col>
                <xdr:colOff>47625</xdr:colOff>
                <xdr:row>71</xdr:row>
                <xdr:rowOff>180975</xdr:rowOff>
              </from>
              <to>
                <xdr:col>1</xdr:col>
                <xdr:colOff>847725</xdr:colOff>
                <xdr:row>73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7" r:id="rId33" name="Check Box 25">
          <controlPr defaultSize="0" autoFill="0" autoLine="0" autoPict="0">
            <anchor moveWithCells="1">
              <from>
                <xdr:col>1</xdr:col>
                <xdr:colOff>47625</xdr:colOff>
                <xdr:row>72</xdr:row>
                <xdr:rowOff>180975</xdr:rowOff>
              </from>
              <to>
                <xdr:col>1</xdr:col>
                <xdr:colOff>847725</xdr:colOff>
                <xdr:row>74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8" r:id="rId34" name="Check Box 26">
          <controlPr defaultSize="0" autoFill="0" autoLine="0" autoPict="0">
            <anchor moveWithCells="1">
              <from>
                <xdr:col>1</xdr:col>
                <xdr:colOff>47625</xdr:colOff>
                <xdr:row>79</xdr:row>
                <xdr:rowOff>0</xdr:rowOff>
              </from>
              <to>
                <xdr:col>1</xdr:col>
                <xdr:colOff>847725</xdr:colOff>
                <xdr:row>80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9" r:id="rId35" name="Check Box 27">
          <controlPr defaultSize="0" autoFill="0" autoLine="0" autoPict="0">
            <anchor moveWithCells="1">
              <from>
                <xdr:col>1</xdr:col>
                <xdr:colOff>47625</xdr:colOff>
                <xdr:row>82</xdr:row>
                <xdr:rowOff>180975</xdr:rowOff>
              </from>
              <to>
                <xdr:col>1</xdr:col>
                <xdr:colOff>847725</xdr:colOff>
                <xdr:row>84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0" r:id="rId36" name="Check Box 28">
          <controlPr defaultSize="0" autoFill="0" autoLine="0" autoPict="0">
            <anchor moveWithCells="1">
              <from>
                <xdr:col>1</xdr:col>
                <xdr:colOff>47625</xdr:colOff>
                <xdr:row>73</xdr:row>
                <xdr:rowOff>180975</xdr:rowOff>
              </from>
              <to>
                <xdr:col>1</xdr:col>
                <xdr:colOff>847725</xdr:colOff>
                <xdr:row>75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1" r:id="rId37" name="Check Box 29">
          <controlPr defaultSize="0" autoFill="0" autoLine="0" autoPict="0">
            <anchor moveWithCells="1">
              <from>
                <xdr:col>1</xdr:col>
                <xdr:colOff>47625</xdr:colOff>
                <xdr:row>88</xdr:row>
                <xdr:rowOff>180975</xdr:rowOff>
              </from>
              <to>
                <xdr:col>1</xdr:col>
                <xdr:colOff>847725</xdr:colOff>
                <xdr:row>90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2" r:id="rId38" name="Check Box 30">
          <controlPr defaultSize="0" autoFill="0" autoLine="0" autoPict="0">
            <anchor moveWithCells="1">
              <from>
                <xdr:col>1</xdr:col>
                <xdr:colOff>47625</xdr:colOff>
                <xdr:row>89</xdr:row>
                <xdr:rowOff>180975</xdr:rowOff>
              </from>
              <to>
                <xdr:col>1</xdr:col>
                <xdr:colOff>847725</xdr:colOff>
                <xdr:row>91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3" r:id="rId39" name="Check Box 31">
          <controlPr defaultSize="0" autoFill="0" autoLine="0" autoPict="0">
            <anchor moveWithCells="1">
              <from>
                <xdr:col>1</xdr:col>
                <xdr:colOff>47625</xdr:colOff>
                <xdr:row>95</xdr:row>
                <xdr:rowOff>0</xdr:rowOff>
              </from>
              <to>
                <xdr:col>1</xdr:col>
                <xdr:colOff>847725</xdr:colOff>
                <xdr:row>96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4" r:id="rId40" name="Check Box 32">
          <controlPr defaultSize="0" autoFill="0" autoLine="0" autoPict="0">
            <anchor moveWithCells="1">
              <from>
                <xdr:col>1</xdr:col>
                <xdr:colOff>47625</xdr:colOff>
                <xdr:row>98</xdr:row>
                <xdr:rowOff>180975</xdr:rowOff>
              </from>
              <to>
                <xdr:col>1</xdr:col>
                <xdr:colOff>847725</xdr:colOff>
                <xdr:row>100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D61B2-849D-40A6-A1D3-DFB8ADD81C7C}">
  <sheetPr codeName="Sheet1"/>
  <dimension ref="A1:O127"/>
  <sheetViews>
    <sheetView workbookViewId="0">
      <selection activeCell="A9" sqref="A9"/>
    </sheetView>
  </sheetViews>
  <sheetFormatPr defaultRowHeight="15" x14ac:dyDescent="0.25"/>
  <cols>
    <col min="1" max="1" width="23.7109375" bestFit="1" customWidth="1"/>
    <col min="2" max="2" width="14.85546875" customWidth="1"/>
  </cols>
  <sheetData>
    <row r="1" spans="1:15" x14ac:dyDescent="0.25">
      <c r="A1" t="s">
        <v>20</v>
      </c>
      <c r="B1" s="3" t="str">
        <f>"""" &amp; Daily!L1 &amp; """"</f>
        <v>"01/00/1900"</v>
      </c>
    </row>
    <row r="2" spans="1:15" x14ac:dyDescent="0.25">
      <c r="A2" t="s">
        <v>21</v>
      </c>
      <c r="B2" s="3" t="str">
        <f>"""" &amp; Daily!L3 &amp; """"</f>
        <v>"1/1/00"</v>
      </c>
    </row>
    <row r="3" spans="1:15" x14ac:dyDescent="0.25">
      <c r="A3" t="s">
        <v>26</v>
      </c>
      <c r="B3" t="e">
        <f>"""" &amp;Daily!L5 &amp; """"</f>
        <v>#VALUE!</v>
      </c>
    </row>
    <row r="4" spans="1:15" x14ac:dyDescent="0.25">
      <c r="A4" t="s">
        <v>87</v>
      </c>
    </row>
    <row r="5" spans="1:15" s="12" customFormat="1" x14ac:dyDescent="0.25">
      <c r="A5" s="12" t="s">
        <v>86</v>
      </c>
      <c r="B5" s="12" t="str">
        <f>"""" &amp; Daily!B2 &amp; """"</f>
        <v>""</v>
      </c>
    </row>
    <row r="6" spans="1:15" x14ac:dyDescent="0.25">
      <c r="A6" t="s">
        <v>30</v>
      </c>
      <c r="B6" t="b">
        <v>0</v>
      </c>
    </row>
    <row r="7" spans="1:15" x14ac:dyDescent="0.25">
      <c r="A7" t="s">
        <v>29</v>
      </c>
      <c r="B7" t="b">
        <v>1</v>
      </c>
    </row>
    <row r="9" spans="1:15" x14ac:dyDescent="0.25">
      <c r="A9" t="s">
        <v>22</v>
      </c>
      <c r="B9" t="str">
        <f>"""" &amp; Daily!B10 &amp; """"</f>
        <v>""</v>
      </c>
    </row>
    <row r="11" spans="1:15" x14ac:dyDescent="0.25">
      <c r="A11" t="s">
        <v>23</v>
      </c>
      <c r="B11" s="22" t="str">
        <f>"[" &amp; Daily!B11  &amp; "]"</f>
        <v>[1500, 1530, 1600, 1630, 1700, 1730, 1800, 1830, 1900, 1930, 2000, 2030, 2100, 2130, 2200, 2230]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</row>
    <row r="13" spans="1:15" x14ac:dyDescent="0.25">
      <c r="A13" t="s">
        <v>27</v>
      </c>
      <c r="B13" t="b">
        <v>0</v>
      </c>
    </row>
    <row r="15" spans="1:15" x14ac:dyDescent="0.25">
      <c r="A15" t="s">
        <v>31</v>
      </c>
      <c r="B15" t="str">
        <f>"""" &amp; Daily!B14 &amp; """"</f>
        <v>""</v>
      </c>
    </row>
    <row r="17" spans="1:15" x14ac:dyDescent="0.25">
      <c r="A17" t="s">
        <v>28</v>
      </c>
      <c r="B17" s="22" t="str">
        <f>"[" &amp; Daily!B15  &amp; "]"</f>
        <v>[1500, 1530, 1600, 1630, 1700, 1730, 1800, 1830, 1900, 1930, 2000, 2030, 2100, 2130, 2200, 2230]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9" spans="1:15" x14ac:dyDescent="0.25">
      <c r="A19" t="s">
        <v>32</v>
      </c>
      <c r="B19" t="b">
        <v>0</v>
      </c>
    </row>
    <row r="21" spans="1:15" x14ac:dyDescent="0.25">
      <c r="A21" t="s">
        <v>33</v>
      </c>
      <c r="B21" t="str">
        <f>"""" &amp; Daily!$B$18 &amp; """"</f>
        <v>""</v>
      </c>
    </row>
    <row r="23" spans="1:15" x14ac:dyDescent="0.25">
      <c r="A23" t="s">
        <v>34</v>
      </c>
      <c r="B23" s="22" t="str">
        <f>"[" &amp; Daily!$B$19  &amp; "]"</f>
        <v>[1500, 1530, 1600, 1630, 1700, 1730, 1800, 1830, 1900, 1930, 2000, 2030, 2100, 2130, 2200, 2230]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7" spans="1:15" x14ac:dyDescent="0.25">
      <c r="A27" t="s">
        <v>35</v>
      </c>
      <c r="B27" t="b">
        <v>0</v>
      </c>
    </row>
    <row r="28" spans="1:15" x14ac:dyDescent="0.25">
      <c r="A28" t="s">
        <v>36</v>
      </c>
      <c r="B28" t="b">
        <v>1</v>
      </c>
    </row>
    <row r="30" spans="1:15" x14ac:dyDescent="0.25">
      <c r="A30" t="s">
        <v>24</v>
      </c>
      <c r="B30" t="str">
        <f>"""" &amp; Daily!B26 &amp; """"</f>
        <v>""</v>
      </c>
    </row>
    <row r="32" spans="1:15" x14ac:dyDescent="0.25">
      <c r="A32" t="s">
        <v>25</v>
      </c>
      <c r="B32" s="22" t="str">
        <f>"[" &amp; Daily!B27  &amp; "]"</f>
        <v>[1500, 1530, 1600, 1630, 1700, 1730, 1800, 1830, 1900, 1930, 2000, 2030, 2100, 2130, 2200, 2230]</v>
      </c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</row>
    <row r="34" spans="1:15" x14ac:dyDescent="0.25">
      <c r="A34" t="s">
        <v>37</v>
      </c>
      <c r="B34" t="b">
        <v>0</v>
      </c>
    </row>
    <row r="36" spans="1:15" x14ac:dyDescent="0.25">
      <c r="A36" t="s">
        <v>38</v>
      </c>
      <c r="B36" t="str">
        <f>"""" &amp; Daily!B30 &amp; """"</f>
        <v>""</v>
      </c>
    </row>
    <row r="38" spans="1:15" x14ac:dyDescent="0.25">
      <c r="A38" t="s">
        <v>39</v>
      </c>
      <c r="B38" s="22" t="str">
        <f>"[" &amp; Daily!B31  &amp; "]"</f>
        <v>[1500, 1530, 1600, 1630, 1700, 1730, 1800, 1830, 1900, 1930, 2000, 2030, 2100, 2130, 2200, 2230]</v>
      </c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</row>
    <row r="40" spans="1:15" x14ac:dyDescent="0.25">
      <c r="A40" t="s">
        <v>40</v>
      </c>
      <c r="B40" t="b">
        <v>0</v>
      </c>
    </row>
    <row r="42" spans="1:15" x14ac:dyDescent="0.25">
      <c r="A42" t="s">
        <v>41</v>
      </c>
      <c r="B42" t="str">
        <f>"""" &amp; Daily!B34 &amp; """"</f>
        <v>""</v>
      </c>
    </row>
    <row r="44" spans="1:15" x14ac:dyDescent="0.25">
      <c r="A44" t="s">
        <v>42</v>
      </c>
      <c r="B44" s="22" t="str">
        <f>"[" &amp; Daily!B35  &amp; "]"</f>
        <v>[1500, 1530, 1600, 1630, 1700, 1730, 1800, 1830, 1900, 1930, 2000, 2030, 2100, 2130, 2200, 2230]</v>
      </c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</row>
    <row r="47" spans="1:15" x14ac:dyDescent="0.25">
      <c r="A47" t="s">
        <v>43</v>
      </c>
      <c r="B47" t="b">
        <v>0</v>
      </c>
    </row>
    <row r="48" spans="1:15" x14ac:dyDescent="0.25">
      <c r="A48" t="s">
        <v>83</v>
      </c>
      <c r="B48" t="b">
        <v>1</v>
      </c>
    </row>
    <row r="49" spans="1:15" x14ac:dyDescent="0.25">
      <c r="A49" t="s">
        <v>44</v>
      </c>
      <c r="B49" t="b">
        <v>1</v>
      </c>
    </row>
    <row r="51" spans="1:15" x14ac:dyDescent="0.25">
      <c r="A51" t="s">
        <v>45</v>
      </c>
      <c r="B51" t="str">
        <f>"""" &amp; Daily!B43 &amp; """"</f>
        <v>""</v>
      </c>
    </row>
    <row r="53" spans="1:15" x14ac:dyDescent="0.25">
      <c r="A53" t="s">
        <v>46</v>
      </c>
      <c r="B53" s="22" t="str">
        <f>"[" &amp; Daily!B44  &amp; "]"</f>
        <v>[1500, 1530, 1600, 1630, 1700, 1730, 1800, 1830, 1900, 1930, 2000, 2030, 2100, 2130, 2200, 2230]</v>
      </c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</row>
    <row r="55" spans="1:15" x14ac:dyDescent="0.25">
      <c r="A55" t="s">
        <v>47</v>
      </c>
      <c r="B55" t="b">
        <v>0</v>
      </c>
    </row>
    <row r="57" spans="1:15" x14ac:dyDescent="0.25">
      <c r="A57" t="s">
        <v>48</v>
      </c>
      <c r="B57" t="str">
        <f>"""" &amp; Daily!B47 &amp; """"</f>
        <v>""</v>
      </c>
    </row>
    <row r="59" spans="1:15" x14ac:dyDescent="0.25">
      <c r="A59" t="s">
        <v>49</v>
      </c>
      <c r="B59" s="22" t="str">
        <f>"[" &amp; Daily!B56  &amp; "]"</f>
        <v>[]</v>
      </c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</row>
    <row r="61" spans="1:15" x14ac:dyDescent="0.25">
      <c r="A61" t="s">
        <v>50</v>
      </c>
      <c r="B61" t="b">
        <v>0</v>
      </c>
    </row>
    <row r="63" spans="1:15" x14ac:dyDescent="0.25">
      <c r="A63" t="s">
        <v>51</v>
      </c>
      <c r="B63" t="str">
        <f t="array" ref="B63">"""" &amp; Daily!B51 &amp; """"</f>
        <v>""</v>
      </c>
    </row>
    <row r="65" spans="1:15" x14ac:dyDescent="0.25">
      <c r="A65" t="s">
        <v>52</v>
      </c>
      <c r="B65" s="22" t="str">
        <f>"[" &amp; Daily!B52 &amp; "]"</f>
        <v>[1500, 1530, 1600, 1630, 1700, 1730, 1800, 1830, 1900, 1930, 2000, 2030, 2100, 2130, 2200, 2230]</v>
      </c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</row>
    <row r="68" spans="1:15" x14ac:dyDescent="0.25">
      <c r="A68" t="s">
        <v>53</v>
      </c>
      <c r="B68" t="b">
        <v>0</v>
      </c>
    </row>
    <row r="69" spans="1:15" x14ac:dyDescent="0.25">
      <c r="A69" t="s">
        <v>84</v>
      </c>
      <c r="B69" t="b">
        <v>1</v>
      </c>
    </row>
    <row r="70" spans="1:15" x14ac:dyDescent="0.25">
      <c r="A70" t="s">
        <v>54</v>
      </c>
      <c r="B70" t="b">
        <v>1</v>
      </c>
    </row>
    <row r="72" spans="1:15" x14ac:dyDescent="0.25">
      <c r="A72" t="s">
        <v>55</v>
      </c>
      <c r="B72" t="str">
        <f>"""" &amp; Daily!B60 &amp; """"</f>
        <v>""</v>
      </c>
    </row>
    <row r="74" spans="1:15" x14ac:dyDescent="0.25">
      <c r="A74" t="s">
        <v>56</v>
      </c>
      <c r="B74" s="22" t="str">
        <f>"[" &amp; Daily!B61  &amp; "]"</f>
        <v>[1500, 1530, 1600, 1630, 1700, 1730, 1800, 1830, 1900, 1930, 2000, 2030, 2100, 2130, 2200, 2230]</v>
      </c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</row>
    <row r="76" spans="1:15" x14ac:dyDescent="0.25">
      <c r="A76" t="s">
        <v>57</v>
      </c>
      <c r="B76" t="b">
        <v>0</v>
      </c>
    </row>
    <row r="78" spans="1:15" x14ac:dyDescent="0.25">
      <c r="A78" t="s">
        <v>58</v>
      </c>
      <c r="B78" t="str">
        <f>"""" &amp; Daily!B64 &amp; """"</f>
        <v>""</v>
      </c>
    </row>
    <row r="80" spans="1:15" x14ac:dyDescent="0.25">
      <c r="A80" t="s">
        <v>59</v>
      </c>
      <c r="B80" s="22" t="str">
        <f>"[" &amp; Daily!B65  &amp; "]"</f>
        <v>[1500, 1530, 1600, 1630, 1700, 1730, 1800, 1830, 1900, 1930, 2000, 2030, 2100, 2130, 2200, 2230]</v>
      </c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</row>
    <row r="82" spans="1:15" x14ac:dyDescent="0.25">
      <c r="A82" t="s">
        <v>60</v>
      </c>
      <c r="B82" t="b">
        <v>0</v>
      </c>
    </row>
    <row r="84" spans="1:15" x14ac:dyDescent="0.25">
      <c r="A84" t="s">
        <v>61</v>
      </c>
      <c r="B84" t="str">
        <f>"""" &amp; Daily!$B68 &amp; """"</f>
        <v>""</v>
      </c>
    </row>
    <row r="86" spans="1:15" x14ac:dyDescent="0.25">
      <c r="A86" t="s">
        <v>62</v>
      </c>
      <c r="B86" s="22" t="str">
        <f>"[" &amp; Daily!$B69  &amp; "]"</f>
        <v>[1500, 1530, 1600, 1630, 1700, 1730, 1800, 1830, 1900, 1930, 2000, 2030, 2100, 2130, 2200, 2230]</v>
      </c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</row>
    <row r="89" spans="1:15" x14ac:dyDescent="0.25">
      <c r="A89" t="s">
        <v>63</v>
      </c>
      <c r="B89" t="b">
        <v>0</v>
      </c>
    </row>
    <row r="90" spans="1:15" x14ac:dyDescent="0.25">
      <c r="A90" t="s">
        <v>85</v>
      </c>
      <c r="B90" t="b">
        <v>1</v>
      </c>
    </row>
    <row r="91" spans="1:15" x14ac:dyDescent="0.25">
      <c r="A91" t="s">
        <v>64</v>
      </c>
      <c r="B91" t="b">
        <v>1</v>
      </c>
    </row>
    <row r="93" spans="1:15" x14ac:dyDescent="0.25">
      <c r="A93" t="s">
        <v>65</v>
      </c>
      <c r="B93" t="str">
        <f>"""" &amp; Daily!B77 &amp; """"</f>
        <v>""</v>
      </c>
    </row>
    <row r="95" spans="1:15" x14ac:dyDescent="0.25">
      <c r="A95" t="s">
        <v>66</v>
      </c>
      <c r="B95" s="22" t="str">
        <f>"[" &amp; Daily!B78  &amp; "]"</f>
        <v>[1500, 1530, 1600, 1630, 1700, 1730, 1800, 1830, 1900, 1930, 2000, 2030, 2100, 2130, 2200, 2230]</v>
      </c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</row>
    <row r="97" spans="1:15" x14ac:dyDescent="0.25">
      <c r="A97" t="s">
        <v>67</v>
      </c>
      <c r="B97" t="b">
        <v>0</v>
      </c>
    </row>
    <row r="99" spans="1:15" x14ac:dyDescent="0.25">
      <c r="A99" t="s">
        <v>68</v>
      </c>
      <c r="B99" t="str">
        <f>"""" &amp; Daily!B81 &amp; """"</f>
        <v>""</v>
      </c>
    </row>
    <row r="101" spans="1:15" x14ac:dyDescent="0.25">
      <c r="A101" t="s">
        <v>69</v>
      </c>
      <c r="B101" s="22" t="str">
        <f>"[" &amp; Daily!B82  &amp; "]"</f>
        <v>[1500, 1530, 1600, 1630, 1700, 1730, 1800, 1830, 1900, 1930, 2000, 2030, 2100, 2130, 2200, 2230]</v>
      </c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</row>
    <row r="103" spans="1:15" x14ac:dyDescent="0.25">
      <c r="A103" t="s">
        <v>70</v>
      </c>
      <c r="B103" t="b">
        <v>0</v>
      </c>
    </row>
    <row r="105" spans="1:15" x14ac:dyDescent="0.25">
      <c r="A105" t="s">
        <v>71</v>
      </c>
      <c r="B105" t="str">
        <f>"""" &amp; Daily!B85&amp; """"</f>
        <v>""</v>
      </c>
    </row>
    <row r="107" spans="1:15" x14ac:dyDescent="0.25">
      <c r="A107" t="s">
        <v>72</v>
      </c>
      <c r="B107" s="22" t="str">
        <f>"[" &amp; Daily!B86  &amp; "]"</f>
        <v>[1500, 1530, 1600, 1630, 1700, 1730, 1800, 1830, 1900, 1930, 2000, 2030, 2100, 2130, 2200, 2230]</v>
      </c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</row>
    <row r="110" spans="1:15" x14ac:dyDescent="0.25">
      <c r="A110" t="s">
        <v>73</v>
      </c>
      <c r="B110" t="b">
        <v>0</v>
      </c>
    </row>
    <row r="111" spans="1:15" x14ac:dyDescent="0.25">
      <c r="A111" t="s">
        <v>74</v>
      </c>
      <c r="B111" t="b">
        <v>1</v>
      </c>
    </row>
    <row r="113" spans="1:15" x14ac:dyDescent="0.25">
      <c r="A113" t="s">
        <v>75</v>
      </c>
      <c r="B113" t="str">
        <f>"""" &amp; Daily!B93 &amp; """"</f>
        <v>""</v>
      </c>
    </row>
    <row r="115" spans="1:15" x14ac:dyDescent="0.25">
      <c r="A115" t="s">
        <v>76</v>
      </c>
      <c r="B115" s="22" t="str">
        <f>"[" &amp; Daily!B94  &amp; "]"</f>
        <v>[1500, 1530, 1600, 1630, 1700, 1730, 1800, 1830, 1900, 1930, 2000, 2030, 2100, 2130, 2200, 2230]</v>
      </c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</row>
    <row r="117" spans="1:15" x14ac:dyDescent="0.25">
      <c r="A117" t="s">
        <v>77</v>
      </c>
      <c r="B117" t="b">
        <v>0</v>
      </c>
    </row>
    <row r="119" spans="1:15" x14ac:dyDescent="0.25">
      <c r="A119" t="s">
        <v>78</v>
      </c>
      <c r="B119" t="str">
        <f>"""" &amp; Daily!B97 &amp; """"</f>
        <v>""</v>
      </c>
    </row>
    <row r="121" spans="1:15" x14ac:dyDescent="0.25">
      <c r="A121" t="s">
        <v>79</v>
      </c>
      <c r="B121" s="22" t="str">
        <f>"[" &amp; Daily!B98  &amp; "]"</f>
        <v>[1500, 1530, 1600, 1630, 1700, 1730, 1800, 1830, 1900, 1930, 2000, 2030, 2100, 2130, 2200, 2230]</v>
      </c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</row>
    <row r="123" spans="1:15" x14ac:dyDescent="0.25">
      <c r="A123" t="s">
        <v>80</v>
      </c>
      <c r="B123" t="b">
        <v>0</v>
      </c>
    </row>
    <row r="125" spans="1:15" x14ac:dyDescent="0.25">
      <c r="A125" t="s">
        <v>81</v>
      </c>
      <c r="B125" t="str">
        <f>"""" &amp; Daily!B101 &amp; """"</f>
        <v>""</v>
      </c>
    </row>
    <row r="127" spans="1:15" x14ac:dyDescent="0.25">
      <c r="A127" t="s">
        <v>82</v>
      </c>
      <c r="B127" s="22" t="str">
        <f>"[" &amp; Daily!B102  &amp; "]"</f>
        <v>[1500, 1530, 1600, 1630, 1700, 1730, 1800, 1830, 1900, 1930, 2000, 2030, 2100, 2130, 2200, 2230]</v>
      </c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</row>
  </sheetData>
  <mergeCells count="18">
    <mergeCell ref="B127:O127"/>
    <mergeCell ref="B86:O86"/>
    <mergeCell ref="B95:O95"/>
    <mergeCell ref="B101:O101"/>
    <mergeCell ref="B107:O107"/>
    <mergeCell ref="B115:O115"/>
    <mergeCell ref="B121:O121"/>
    <mergeCell ref="B80:O80"/>
    <mergeCell ref="B11:O11"/>
    <mergeCell ref="B17:O17"/>
    <mergeCell ref="B23:O23"/>
    <mergeCell ref="B32:O32"/>
    <mergeCell ref="B38:O38"/>
    <mergeCell ref="B44:O44"/>
    <mergeCell ref="B53:O53"/>
    <mergeCell ref="B59:O59"/>
    <mergeCell ref="B65:O65"/>
    <mergeCell ref="B74:O7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67D0C-A4B6-4F56-87AF-B3FE59BBE4FB}">
  <sheetPr codeName="Sheet7"/>
  <dimension ref="A2:R55"/>
  <sheetViews>
    <sheetView topLeftCell="A4" workbookViewId="0">
      <selection activeCell="H23" sqref="H23"/>
    </sheetView>
  </sheetViews>
  <sheetFormatPr defaultRowHeight="15" x14ac:dyDescent="0.25"/>
  <cols>
    <col min="1" max="1" width="12.5703125" style="8" customWidth="1"/>
    <col min="2" max="2" width="12.5703125" style="8" hidden="1" customWidth="1"/>
    <col min="5" max="5" width="11" style="1" bestFit="1" customWidth="1"/>
    <col min="6" max="6" width="11" hidden="1" customWidth="1"/>
    <col min="8" max="8" width="11.7109375" bestFit="1" customWidth="1"/>
    <col min="9" max="9" width="11" hidden="1" customWidth="1"/>
    <col min="10" max="10" width="11" customWidth="1"/>
    <col min="11" max="11" width="11.42578125" bestFit="1" customWidth="1"/>
    <col min="12" max="12" width="11" hidden="1" customWidth="1"/>
    <col min="14" max="14" width="11.7109375" bestFit="1" customWidth="1"/>
    <col min="15" max="15" width="11" hidden="1" customWidth="1"/>
    <col min="17" max="17" width="11.7109375" bestFit="1" customWidth="1"/>
    <col min="18" max="18" width="11" hidden="1" customWidth="1"/>
  </cols>
  <sheetData>
    <row r="2" spans="1:18" x14ac:dyDescent="0.25">
      <c r="A2" s="7" t="s">
        <v>0</v>
      </c>
      <c r="B2" s="7"/>
      <c r="E2" s="1" t="s">
        <v>1</v>
      </c>
      <c r="H2" s="1" t="s">
        <v>2</v>
      </c>
      <c r="K2" s="1" t="s">
        <v>3</v>
      </c>
      <c r="L2" s="1"/>
      <c r="N2" s="1" t="s">
        <v>4</v>
      </c>
      <c r="O2" s="1"/>
      <c r="Q2" s="1" t="s">
        <v>5</v>
      </c>
      <c r="R2" s="1"/>
    </row>
    <row r="3" spans="1:18" x14ac:dyDescent="0.25">
      <c r="A3" s="9">
        <v>300051000</v>
      </c>
      <c r="B3" s="9" t="str">
        <f>TEXT(A3, "0000000000")</f>
        <v>0300051000</v>
      </c>
      <c r="E3" s="2">
        <v>100318000</v>
      </c>
      <c r="F3" s="9" t="str">
        <f>TEXT(E3, "0000000000")</f>
        <v>0100318000</v>
      </c>
      <c r="H3" s="1">
        <v>152340000</v>
      </c>
      <c r="I3" s="9" t="str">
        <f t="shared" ref="I3:I34" si="0">TEXT(H3, "0000000000")</f>
        <v>0152340000</v>
      </c>
      <c r="J3" s="9"/>
      <c r="K3" s="1">
        <v>100187000</v>
      </c>
      <c r="L3" s="9" t="str">
        <f>TEXT(K3, "0000000000")</f>
        <v>0100187000</v>
      </c>
      <c r="N3">
        <v>148733000</v>
      </c>
      <c r="O3" s="9" t="str">
        <f>TEXT(N3, "0000000000")</f>
        <v>0148733000</v>
      </c>
      <c r="Q3">
        <v>100317000</v>
      </c>
      <c r="R3" s="9" t="str">
        <f>TEXT(Q3, "0000000000")</f>
        <v>0100317000</v>
      </c>
    </row>
    <row r="4" spans="1:18" x14ac:dyDescent="0.25">
      <c r="A4" s="9">
        <v>152230000</v>
      </c>
      <c r="B4" s="9" t="str">
        <f t="shared" ref="B4:B54" si="1">TEXT(A4, "0000000000")</f>
        <v>0152230000</v>
      </c>
      <c r="E4" s="2">
        <v>100061000</v>
      </c>
      <c r="F4" s="9" t="str">
        <f t="shared" ref="F4:F54" si="2">TEXT(E4, "0000000000")</f>
        <v>0100061000</v>
      </c>
      <c r="H4" s="1">
        <v>100415000</v>
      </c>
      <c r="I4" s="9" t="str">
        <f t="shared" si="0"/>
        <v>0100415000</v>
      </c>
      <c r="J4" s="9"/>
      <c r="K4" s="1">
        <v>100188000</v>
      </c>
      <c r="L4" s="9" t="str">
        <f t="shared" ref="L4:L54" si="3">TEXT(K4, "0000000000")</f>
        <v>0100188000</v>
      </c>
      <c r="N4">
        <v>148731000</v>
      </c>
      <c r="O4" s="9" t="str">
        <f t="shared" ref="O4:O54" si="4">TEXT(N4, "0000000000")</f>
        <v>0148731000</v>
      </c>
      <c r="Q4">
        <v>152330000</v>
      </c>
      <c r="R4" s="9" t="str">
        <f t="shared" ref="R4:R54" si="5">TEXT(Q4, "0000000000")</f>
        <v>0152330000</v>
      </c>
    </row>
    <row r="5" spans="1:18" x14ac:dyDescent="0.25">
      <c r="A5" s="9">
        <v>100509000</v>
      </c>
      <c r="B5" s="9" t="str">
        <f t="shared" si="1"/>
        <v>0100509000</v>
      </c>
      <c r="E5" s="2">
        <v>4601766000</v>
      </c>
      <c r="F5" s="9" t="str">
        <f t="shared" si="2"/>
        <v>4601766000</v>
      </c>
      <c r="H5" s="1">
        <v>100316000</v>
      </c>
      <c r="I5" s="9" t="str">
        <f t="shared" si="0"/>
        <v>0100316000</v>
      </c>
      <c r="J5" s="9"/>
      <c r="K5" s="1">
        <v>100261000</v>
      </c>
      <c r="L5" s="9" t="str">
        <f t="shared" si="3"/>
        <v>0100261000</v>
      </c>
      <c r="N5">
        <v>148732000</v>
      </c>
      <c r="O5" s="9" t="str">
        <f t="shared" si="4"/>
        <v>0148732000</v>
      </c>
      <c r="Q5">
        <v>152340000</v>
      </c>
      <c r="R5" s="9" t="str">
        <f t="shared" si="5"/>
        <v>0152340000</v>
      </c>
    </row>
    <row r="6" spans="1:18" x14ac:dyDescent="0.25">
      <c r="A6" s="9">
        <v>100238000</v>
      </c>
      <c r="B6" s="9" t="str">
        <f t="shared" si="1"/>
        <v>0100238000</v>
      </c>
      <c r="E6" s="2">
        <v>185030000</v>
      </c>
      <c r="F6" s="9" t="str">
        <f t="shared" si="2"/>
        <v>0185030000</v>
      </c>
      <c r="H6" s="1">
        <v>100420000</v>
      </c>
      <c r="I6" s="9" t="str">
        <f t="shared" si="0"/>
        <v>0100420000</v>
      </c>
      <c r="J6" s="9"/>
      <c r="K6" s="1">
        <v>100182000</v>
      </c>
      <c r="L6" s="9" t="str">
        <f t="shared" si="3"/>
        <v>0100182000</v>
      </c>
      <c r="N6">
        <v>100315000</v>
      </c>
      <c r="O6" s="9" t="str">
        <f t="shared" si="4"/>
        <v>0100315000</v>
      </c>
      <c r="Q6">
        <v>100420000</v>
      </c>
      <c r="R6" s="9" t="str">
        <f t="shared" si="5"/>
        <v>0100420000</v>
      </c>
    </row>
    <row r="7" spans="1:18" x14ac:dyDescent="0.25">
      <c r="A7" s="9">
        <v>100075000</v>
      </c>
      <c r="B7" s="9" t="str">
        <f t="shared" si="1"/>
        <v>0100075000</v>
      </c>
      <c r="E7" s="1">
        <v>100235000</v>
      </c>
      <c r="F7" s="9" t="str">
        <f t="shared" si="2"/>
        <v>0100235000</v>
      </c>
      <c r="H7" s="1">
        <v>100735000</v>
      </c>
      <c r="I7" s="9" t="str">
        <f t="shared" si="0"/>
        <v>0100735000</v>
      </c>
      <c r="J7" s="9"/>
      <c r="K7" s="1">
        <v>100183000</v>
      </c>
      <c r="L7" s="9" t="str">
        <f t="shared" si="3"/>
        <v>0100183000</v>
      </c>
      <c r="N7">
        <v>100099000</v>
      </c>
      <c r="O7" s="9" t="str">
        <f t="shared" si="4"/>
        <v>0100099000</v>
      </c>
      <c r="Q7">
        <v>100067000</v>
      </c>
      <c r="R7" s="9" t="str">
        <f t="shared" si="5"/>
        <v>0100067000</v>
      </c>
    </row>
    <row r="8" spans="1:18" x14ac:dyDescent="0.25">
      <c r="A8" s="9">
        <v>111501000</v>
      </c>
      <c r="B8" s="9" t="str">
        <f t="shared" si="1"/>
        <v>0111501000</v>
      </c>
      <c r="E8" s="1">
        <v>100236000</v>
      </c>
      <c r="F8" s="9" t="str">
        <f t="shared" si="2"/>
        <v>0100236000</v>
      </c>
      <c r="H8" s="1">
        <v>100757000</v>
      </c>
      <c r="I8" s="9" t="str">
        <f t="shared" si="0"/>
        <v>0100757000</v>
      </c>
      <c r="J8" s="9"/>
      <c r="K8" s="1">
        <v>100185000</v>
      </c>
      <c r="L8" s="9" t="str">
        <f t="shared" si="3"/>
        <v>0100185000</v>
      </c>
      <c r="N8">
        <v>100124000</v>
      </c>
      <c r="O8" s="9" t="str">
        <f t="shared" si="4"/>
        <v>0100124000</v>
      </c>
      <c r="Q8">
        <v>105220000</v>
      </c>
      <c r="R8" s="9" t="str">
        <f t="shared" si="5"/>
        <v>0105220000</v>
      </c>
    </row>
    <row r="9" spans="1:18" x14ac:dyDescent="0.25">
      <c r="A9" s="9">
        <v>100031000</v>
      </c>
      <c r="B9" s="9" t="str">
        <f t="shared" si="1"/>
        <v>0100031000</v>
      </c>
      <c r="E9" s="2">
        <v>100048000</v>
      </c>
      <c r="F9" s="9" t="str">
        <f t="shared" si="2"/>
        <v>0100048000</v>
      </c>
      <c r="H9" s="1">
        <v>100067000</v>
      </c>
      <c r="I9" s="9" t="str">
        <f t="shared" si="0"/>
        <v>0100067000</v>
      </c>
      <c r="J9" s="9"/>
      <c r="K9" s="1">
        <v>100186000</v>
      </c>
      <c r="L9" s="9" t="str">
        <f t="shared" si="3"/>
        <v>0100186000</v>
      </c>
      <c r="N9">
        <v>100120000</v>
      </c>
      <c r="O9" s="9" t="str">
        <f t="shared" si="4"/>
        <v>0100120000</v>
      </c>
      <c r="Q9">
        <v>189380000</v>
      </c>
      <c r="R9" s="9" t="str">
        <f t="shared" si="5"/>
        <v>0189380000</v>
      </c>
    </row>
    <row r="10" spans="1:18" x14ac:dyDescent="0.25">
      <c r="A10" s="9">
        <v>100032000</v>
      </c>
      <c r="B10" s="9" t="str">
        <f t="shared" si="1"/>
        <v>0100032000</v>
      </c>
      <c r="E10" s="2">
        <v>100017000</v>
      </c>
      <c r="F10" s="9" t="str">
        <f t="shared" si="2"/>
        <v>0100017000</v>
      </c>
      <c r="H10" s="1">
        <v>105220000</v>
      </c>
      <c r="I10" s="9" t="str">
        <f t="shared" si="0"/>
        <v>0105220000</v>
      </c>
      <c r="J10" s="9"/>
      <c r="K10" s="1">
        <v>100216000</v>
      </c>
      <c r="L10" s="9" t="str">
        <f t="shared" si="3"/>
        <v>0100216000</v>
      </c>
      <c r="N10">
        <v>100121000</v>
      </c>
      <c r="O10" s="9" t="str">
        <f t="shared" si="4"/>
        <v>0100121000</v>
      </c>
      <c r="Q10">
        <v>100078000</v>
      </c>
      <c r="R10" s="9" t="str">
        <f t="shared" si="5"/>
        <v>0100078000</v>
      </c>
    </row>
    <row r="11" spans="1:18" x14ac:dyDescent="0.25">
      <c r="A11" s="9">
        <v>185620000</v>
      </c>
      <c r="B11" s="9" t="str">
        <f t="shared" si="1"/>
        <v>0185620000</v>
      </c>
      <c r="E11" s="2">
        <v>100254000</v>
      </c>
      <c r="F11" s="9" t="str">
        <f t="shared" si="2"/>
        <v>0100254000</v>
      </c>
      <c r="H11" s="2">
        <v>4620530081</v>
      </c>
      <c r="I11" s="9" t="str">
        <f t="shared" si="0"/>
        <v>4620530081</v>
      </c>
      <c r="J11" s="9"/>
      <c r="K11" s="1">
        <v>100210000</v>
      </c>
      <c r="L11" s="9" t="str">
        <f t="shared" si="3"/>
        <v>0100210000</v>
      </c>
      <c r="N11">
        <v>4619334000</v>
      </c>
      <c r="O11" s="9" t="str">
        <f t="shared" si="4"/>
        <v>4619334000</v>
      </c>
      <c r="Q11">
        <v>100338000</v>
      </c>
      <c r="R11" s="9" t="str">
        <f t="shared" si="5"/>
        <v>0100338000</v>
      </c>
    </row>
    <row r="12" spans="1:18" x14ac:dyDescent="0.25">
      <c r="A12" s="9">
        <v>4619334000</v>
      </c>
      <c r="B12" s="9" t="str">
        <f t="shared" si="1"/>
        <v>4619334000</v>
      </c>
      <c r="E12" s="2">
        <v>126826000</v>
      </c>
      <c r="F12" s="9" t="str">
        <f t="shared" si="2"/>
        <v>0126826000</v>
      </c>
      <c r="H12" s="1">
        <v>100013000</v>
      </c>
      <c r="I12" s="9" t="str">
        <f t="shared" si="0"/>
        <v>0100013000</v>
      </c>
      <c r="J12" s="9"/>
      <c r="K12" s="1">
        <v>100211000</v>
      </c>
      <c r="L12" s="9" t="str">
        <f t="shared" si="3"/>
        <v>0100211000</v>
      </c>
      <c r="N12">
        <v>100187000</v>
      </c>
      <c r="O12" s="9" t="str">
        <f t="shared" si="4"/>
        <v>0100187000</v>
      </c>
      <c r="Q12">
        <v>152880000</v>
      </c>
      <c r="R12" s="9" t="str">
        <f t="shared" si="5"/>
        <v>0152880000</v>
      </c>
    </row>
    <row r="13" spans="1:18" x14ac:dyDescent="0.25">
      <c r="A13" s="9">
        <v>100099000</v>
      </c>
      <c r="B13" s="9" t="str">
        <f t="shared" si="1"/>
        <v>0100099000</v>
      </c>
      <c r="E13" s="2">
        <v>100207000</v>
      </c>
      <c r="F13" s="9" t="str">
        <f t="shared" si="2"/>
        <v>0100207000</v>
      </c>
      <c r="H13" s="2">
        <v>4607387000</v>
      </c>
      <c r="I13" s="9" t="str">
        <f t="shared" si="0"/>
        <v>4607387000</v>
      </c>
      <c r="J13" s="9"/>
      <c r="K13" s="1">
        <v>100014000</v>
      </c>
      <c r="L13" s="9" t="str">
        <f t="shared" si="3"/>
        <v>0100014000</v>
      </c>
      <c r="N13">
        <v>100085000</v>
      </c>
      <c r="O13" s="9" t="str">
        <f t="shared" si="4"/>
        <v>0100085000</v>
      </c>
      <c r="Q13">
        <v>4606200000</v>
      </c>
      <c r="R13" s="9" t="str">
        <f t="shared" si="5"/>
        <v>4606200000</v>
      </c>
    </row>
    <row r="14" spans="1:18" x14ac:dyDescent="0.25">
      <c r="A14" s="9">
        <v>100124000</v>
      </c>
      <c r="B14" s="9" t="str">
        <f t="shared" si="1"/>
        <v>0100124000</v>
      </c>
      <c r="E14" s="2">
        <v>100207131</v>
      </c>
      <c r="F14" s="9" t="str">
        <f t="shared" si="2"/>
        <v>0100207131</v>
      </c>
      <c r="H14" s="1"/>
      <c r="I14" s="9" t="str">
        <f t="shared" si="0"/>
        <v>0000000000</v>
      </c>
      <c r="J14" s="9"/>
      <c r="K14" s="1">
        <v>100260000</v>
      </c>
      <c r="L14" s="9" t="str">
        <f t="shared" si="3"/>
        <v>0100260000</v>
      </c>
      <c r="N14">
        <v>100188000</v>
      </c>
      <c r="O14" s="9" t="str">
        <f t="shared" si="4"/>
        <v>0100188000</v>
      </c>
      <c r="Q14">
        <v>100122000</v>
      </c>
      <c r="R14" s="9" t="str">
        <f t="shared" si="5"/>
        <v>0100122000</v>
      </c>
    </row>
    <row r="15" spans="1:18" x14ac:dyDescent="0.25">
      <c r="A15" s="9">
        <v>100120000</v>
      </c>
      <c r="B15" s="9" t="str">
        <f t="shared" si="1"/>
        <v>0100120000</v>
      </c>
      <c r="E15" s="2">
        <v>141639000</v>
      </c>
      <c r="F15" s="9" t="str">
        <f t="shared" si="2"/>
        <v>0141639000</v>
      </c>
      <c r="H15" s="1"/>
      <c r="I15" s="9" t="str">
        <f t="shared" si="0"/>
        <v>0000000000</v>
      </c>
      <c r="J15" s="9"/>
      <c r="K15" s="1">
        <v>100918000</v>
      </c>
      <c r="L15" s="9" t="str">
        <f t="shared" si="3"/>
        <v>0100918000</v>
      </c>
      <c r="N15">
        <v>100261000</v>
      </c>
      <c r="O15" s="9" t="str">
        <f t="shared" si="4"/>
        <v>0100261000</v>
      </c>
      <c r="Q15">
        <v>100235000</v>
      </c>
      <c r="R15" s="9" t="str">
        <f t="shared" si="5"/>
        <v>0100235000</v>
      </c>
    </row>
    <row r="16" spans="1:18" x14ac:dyDescent="0.25">
      <c r="A16" s="9">
        <v>100121000</v>
      </c>
      <c r="B16" s="9" t="str">
        <f t="shared" si="1"/>
        <v>0100121000</v>
      </c>
      <c r="E16" s="1">
        <v>4602070000</v>
      </c>
      <c r="F16" s="9" t="str">
        <f t="shared" si="2"/>
        <v>4602070000</v>
      </c>
      <c r="H16" s="1"/>
      <c r="I16" s="9" t="str">
        <f t="shared" si="0"/>
        <v>0000000000</v>
      </c>
      <c r="J16" s="9"/>
      <c r="L16" s="9" t="str">
        <f t="shared" si="3"/>
        <v>0000000000</v>
      </c>
      <c r="N16">
        <v>100014000</v>
      </c>
      <c r="O16" s="9" t="str">
        <f t="shared" si="4"/>
        <v>0100014000</v>
      </c>
      <c r="Q16">
        <v>100236000</v>
      </c>
      <c r="R16" s="9" t="str">
        <f t="shared" si="5"/>
        <v>0100236000</v>
      </c>
    </row>
    <row r="17" spans="1:18" x14ac:dyDescent="0.25">
      <c r="A17" s="9">
        <v>148733000</v>
      </c>
      <c r="B17" s="9" t="str">
        <f t="shared" si="1"/>
        <v>0148733000</v>
      </c>
      <c r="E17" s="2">
        <v>100158000</v>
      </c>
      <c r="F17" s="9" t="str">
        <f t="shared" si="2"/>
        <v>0100158000</v>
      </c>
      <c r="H17" s="1"/>
      <c r="I17" s="9" t="str">
        <f t="shared" si="0"/>
        <v>0000000000</v>
      </c>
      <c r="J17" s="9"/>
      <c r="L17" s="9" t="str">
        <f t="shared" si="3"/>
        <v>0000000000</v>
      </c>
      <c r="N17">
        <v>100062000</v>
      </c>
      <c r="O17" s="9" t="str">
        <f t="shared" si="4"/>
        <v>0100062000</v>
      </c>
      <c r="Q17">
        <v>100005000</v>
      </c>
      <c r="R17" s="9" t="str">
        <f t="shared" si="5"/>
        <v>0100005000</v>
      </c>
    </row>
    <row r="18" spans="1:18" x14ac:dyDescent="0.25">
      <c r="A18" s="9">
        <v>148731000</v>
      </c>
      <c r="B18" s="9" t="str">
        <f t="shared" si="1"/>
        <v>0148731000</v>
      </c>
      <c r="E18" s="2">
        <v>100159000</v>
      </c>
      <c r="F18" s="9" t="str">
        <f t="shared" si="2"/>
        <v>0100159000</v>
      </c>
      <c r="H18" s="1"/>
      <c r="I18" s="9" t="str">
        <f t="shared" si="0"/>
        <v>0000000000</v>
      </c>
      <c r="J18" s="9"/>
      <c r="L18" s="9" t="str">
        <f t="shared" si="3"/>
        <v>0000000000</v>
      </c>
      <c r="N18">
        <v>100076000</v>
      </c>
      <c r="O18" s="9" t="str">
        <f t="shared" si="4"/>
        <v>0100076000</v>
      </c>
      <c r="Q18">
        <v>100058000</v>
      </c>
      <c r="R18" s="9" t="str">
        <f t="shared" si="5"/>
        <v>0100058000</v>
      </c>
    </row>
    <row r="19" spans="1:18" x14ac:dyDescent="0.25">
      <c r="A19" s="9">
        <v>148732000</v>
      </c>
      <c r="B19" s="9" t="str">
        <f t="shared" si="1"/>
        <v>0148732000</v>
      </c>
      <c r="E19" s="2">
        <v>100082000</v>
      </c>
      <c r="F19" s="9" t="str">
        <f t="shared" si="2"/>
        <v>0100082000</v>
      </c>
      <c r="H19" s="1"/>
      <c r="I19" s="9" t="str">
        <f t="shared" si="0"/>
        <v>0000000000</v>
      </c>
      <c r="J19" s="9"/>
      <c r="L19" s="9" t="str">
        <f t="shared" si="3"/>
        <v>0000000000</v>
      </c>
      <c r="N19">
        <v>100182000</v>
      </c>
      <c r="O19" s="9" t="str">
        <f t="shared" si="4"/>
        <v>0100182000</v>
      </c>
      <c r="R19" s="9" t="str">
        <f t="shared" si="5"/>
        <v>0000000000</v>
      </c>
    </row>
    <row r="20" spans="1:18" x14ac:dyDescent="0.25">
      <c r="A20" s="9">
        <v>100315000</v>
      </c>
      <c r="B20" s="9" t="str">
        <f t="shared" si="1"/>
        <v>0100315000</v>
      </c>
      <c r="E20" s="2">
        <v>100164000</v>
      </c>
      <c r="F20" s="9" t="str">
        <f t="shared" si="2"/>
        <v>0100164000</v>
      </c>
      <c r="H20" s="1"/>
      <c r="I20" s="9" t="str">
        <f t="shared" si="0"/>
        <v>0000000000</v>
      </c>
      <c r="J20" s="9"/>
      <c r="L20" s="9" t="str">
        <f t="shared" si="3"/>
        <v>0000000000</v>
      </c>
      <c r="N20">
        <v>100183000</v>
      </c>
      <c r="O20" s="9" t="str">
        <f t="shared" si="4"/>
        <v>0100183000</v>
      </c>
      <c r="R20" s="9" t="str">
        <f t="shared" si="5"/>
        <v>0000000000</v>
      </c>
    </row>
    <row r="21" spans="1:18" x14ac:dyDescent="0.25">
      <c r="A21" s="9">
        <v>100512000</v>
      </c>
      <c r="B21" s="9" t="str">
        <f t="shared" si="1"/>
        <v>0100512000</v>
      </c>
      <c r="E21" s="2">
        <v>100084000</v>
      </c>
      <c r="F21" s="9" t="str">
        <f t="shared" si="2"/>
        <v>0100084000</v>
      </c>
      <c r="H21" s="1"/>
      <c r="I21" s="9" t="str">
        <f t="shared" si="0"/>
        <v>0000000000</v>
      </c>
      <c r="J21" s="9"/>
      <c r="L21" s="9" t="str">
        <f t="shared" si="3"/>
        <v>0000000000</v>
      </c>
      <c r="N21">
        <v>100185000</v>
      </c>
      <c r="O21" s="9" t="str">
        <f t="shared" si="4"/>
        <v>0100185000</v>
      </c>
      <c r="R21" s="9" t="str">
        <f t="shared" si="5"/>
        <v>0000000000</v>
      </c>
    </row>
    <row r="22" spans="1:18" x14ac:dyDescent="0.25">
      <c r="A22" s="10"/>
      <c r="B22" s="9" t="str">
        <f t="shared" si="1"/>
        <v>0000000000</v>
      </c>
      <c r="E22" s="2">
        <v>100098000</v>
      </c>
      <c r="F22" s="9" t="str">
        <f t="shared" si="2"/>
        <v>0100098000</v>
      </c>
      <c r="H22" s="1"/>
      <c r="I22" s="9" t="str">
        <f t="shared" si="0"/>
        <v>0000000000</v>
      </c>
      <c r="J22" s="9"/>
      <c r="L22" s="9" t="str">
        <f t="shared" si="3"/>
        <v>0000000000</v>
      </c>
      <c r="N22">
        <v>100186000</v>
      </c>
      <c r="O22" s="9" t="str">
        <f t="shared" si="4"/>
        <v>0100186000</v>
      </c>
      <c r="R22" s="9" t="str">
        <f t="shared" si="5"/>
        <v>0000000000</v>
      </c>
    </row>
    <row r="23" spans="1:18" x14ac:dyDescent="0.25">
      <c r="A23" s="10"/>
      <c r="B23" s="9" t="str">
        <f t="shared" si="1"/>
        <v>0000000000</v>
      </c>
      <c r="F23" s="9" t="str">
        <f t="shared" si="2"/>
        <v>0000000000</v>
      </c>
      <c r="I23" s="9" t="str">
        <f t="shared" si="0"/>
        <v>0000000000</v>
      </c>
      <c r="J23" s="9"/>
      <c r="L23" s="9" t="str">
        <f t="shared" si="3"/>
        <v>0000000000</v>
      </c>
      <c r="N23">
        <v>100216000</v>
      </c>
      <c r="O23" s="9" t="str">
        <f t="shared" si="4"/>
        <v>0100216000</v>
      </c>
      <c r="R23" s="9" t="str">
        <f t="shared" si="5"/>
        <v>0000000000</v>
      </c>
    </row>
    <row r="24" spans="1:18" x14ac:dyDescent="0.25">
      <c r="A24" s="10"/>
      <c r="B24" s="9" t="str">
        <f t="shared" si="1"/>
        <v>0000000000</v>
      </c>
      <c r="F24" s="9" t="str">
        <f t="shared" si="2"/>
        <v>0000000000</v>
      </c>
      <c r="I24" s="9" t="str">
        <f t="shared" si="0"/>
        <v>0000000000</v>
      </c>
      <c r="J24" s="9"/>
      <c r="L24" s="9" t="str">
        <f t="shared" si="3"/>
        <v>0000000000</v>
      </c>
      <c r="N24">
        <v>100210000</v>
      </c>
      <c r="O24" s="9" t="str">
        <f t="shared" si="4"/>
        <v>0100210000</v>
      </c>
      <c r="R24" s="9" t="str">
        <f t="shared" si="5"/>
        <v>0000000000</v>
      </c>
    </row>
    <row r="25" spans="1:18" x14ac:dyDescent="0.25">
      <c r="A25" s="10"/>
      <c r="B25" s="9" t="str">
        <f t="shared" si="1"/>
        <v>0000000000</v>
      </c>
      <c r="F25" s="9" t="str">
        <f t="shared" si="2"/>
        <v>0000000000</v>
      </c>
      <c r="I25" s="9" t="str">
        <f t="shared" si="0"/>
        <v>0000000000</v>
      </c>
      <c r="J25" s="9"/>
      <c r="L25" s="9" t="str">
        <f t="shared" si="3"/>
        <v>0000000000</v>
      </c>
      <c r="N25">
        <v>100211000</v>
      </c>
      <c r="O25" s="9" t="str">
        <f t="shared" si="4"/>
        <v>0100211000</v>
      </c>
      <c r="R25" s="9" t="str">
        <f t="shared" si="5"/>
        <v>0000000000</v>
      </c>
    </row>
    <row r="26" spans="1:18" x14ac:dyDescent="0.25">
      <c r="A26" s="10"/>
      <c r="B26" s="9" t="str">
        <f t="shared" si="1"/>
        <v>0000000000</v>
      </c>
      <c r="F26" s="9" t="str">
        <f t="shared" si="2"/>
        <v>0000000000</v>
      </c>
      <c r="I26" s="9" t="str">
        <f t="shared" si="0"/>
        <v>0000000000</v>
      </c>
      <c r="J26" s="9"/>
      <c r="L26" s="9" t="str">
        <f t="shared" si="3"/>
        <v>0000000000</v>
      </c>
      <c r="N26">
        <v>100260000</v>
      </c>
      <c r="O26" s="9" t="str">
        <f t="shared" si="4"/>
        <v>0100260000</v>
      </c>
      <c r="R26" s="9" t="str">
        <f t="shared" si="5"/>
        <v>0000000000</v>
      </c>
    </row>
    <row r="27" spans="1:18" x14ac:dyDescent="0.25">
      <c r="A27" s="10"/>
      <c r="B27" s="9" t="str">
        <f t="shared" si="1"/>
        <v>0000000000</v>
      </c>
      <c r="F27" s="9" t="str">
        <f t="shared" si="2"/>
        <v>0000000000</v>
      </c>
      <c r="I27" s="9" t="str">
        <f t="shared" si="0"/>
        <v>0000000000</v>
      </c>
      <c r="J27" s="9"/>
      <c r="L27" s="9" t="str">
        <f t="shared" si="3"/>
        <v>0000000000</v>
      </c>
      <c r="N27">
        <v>100918000</v>
      </c>
      <c r="O27" s="9" t="str">
        <f t="shared" si="4"/>
        <v>0100918000</v>
      </c>
      <c r="R27" s="9" t="str">
        <f t="shared" si="5"/>
        <v>0000000000</v>
      </c>
    </row>
    <row r="28" spans="1:18" x14ac:dyDescent="0.25">
      <c r="A28" s="10"/>
      <c r="B28" s="9" t="str">
        <f t="shared" si="1"/>
        <v>0000000000</v>
      </c>
      <c r="F28" s="9" t="str">
        <f t="shared" si="2"/>
        <v>0000000000</v>
      </c>
      <c r="I28" s="9" t="str">
        <f t="shared" si="0"/>
        <v>0000000000</v>
      </c>
      <c r="J28" s="9"/>
      <c r="L28" s="9" t="str">
        <f t="shared" si="3"/>
        <v>0000000000</v>
      </c>
      <c r="O28" s="9" t="str">
        <f t="shared" si="4"/>
        <v>0000000000</v>
      </c>
      <c r="R28" s="9" t="str">
        <f t="shared" si="5"/>
        <v>0000000000</v>
      </c>
    </row>
    <row r="29" spans="1:18" x14ac:dyDescent="0.25">
      <c r="A29" s="10"/>
      <c r="B29" s="9" t="str">
        <f t="shared" si="1"/>
        <v>0000000000</v>
      </c>
      <c r="F29" s="9" t="str">
        <f t="shared" si="2"/>
        <v>0000000000</v>
      </c>
      <c r="I29" s="9" t="str">
        <f t="shared" si="0"/>
        <v>0000000000</v>
      </c>
      <c r="J29" s="9"/>
      <c r="L29" s="9" t="str">
        <f t="shared" si="3"/>
        <v>0000000000</v>
      </c>
      <c r="O29" s="9" t="str">
        <f t="shared" si="4"/>
        <v>0000000000</v>
      </c>
      <c r="R29" s="9" t="str">
        <f t="shared" si="5"/>
        <v>0000000000</v>
      </c>
    </row>
    <row r="30" spans="1:18" x14ac:dyDescent="0.25">
      <c r="A30" s="10"/>
      <c r="B30" s="9" t="str">
        <f t="shared" si="1"/>
        <v>0000000000</v>
      </c>
      <c r="F30" s="9" t="str">
        <f t="shared" si="2"/>
        <v>0000000000</v>
      </c>
      <c r="I30" s="9" t="str">
        <f t="shared" si="0"/>
        <v>0000000000</v>
      </c>
      <c r="J30" s="9"/>
      <c r="L30" s="9" t="str">
        <f t="shared" si="3"/>
        <v>0000000000</v>
      </c>
      <c r="O30" s="9" t="str">
        <f t="shared" si="4"/>
        <v>0000000000</v>
      </c>
      <c r="R30" s="9" t="str">
        <f t="shared" si="5"/>
        <v>0000000000</v>
      </c>
    </row>
    <row r="31" spans="1:18" x14ac:dyDescent="0.25">
      <c r="A31" s="10"/>
      <c r="B31" s="9" t="str">
        <f t="shared" si="1"/>
        <v>0000000000</v>
      </c>
      <c r="F31" s="9" t="str">
        <f t="shared" si="2"/>
        <v>0000000000</v>
      </c>
      <c r="I31" s="9" t="str">
        <f t="shared" si="0"/>
        <v>0000000000</v>
      </c>
      <c r="J31" s="9"/>
      <c r="L31" s="9" t="str">
        <f t="shared" si="3"/>
        <v>0000000000</v>
      </c>
      <c r="O31" s="9" t="str">
        <f t="shared" si="4"/>
        <v>0000000000</v>
      </c>
      <c r="R31" s="9" t="str">
        <f t="shared" si="5"/>
        <v>0000000000</v>
      </c>
    </row>
    <row r="32" spans="1:18" x14ac:dyDescent="0.25">
      <c r="A32" s="10"/>
      <c r="B32" s="9" t="str">
        <f t="shared" si="1"/>
        <v>0000000000</v>
      </c>
      <c r="F32" s="9" t="str">
        <f t="shared" si="2"/>
        <v>0000000000</v>
      </c>
      <c r="I32" s="9" t="str">
        <f t="shared" si="0"/>
        <v>0000000000</v>
      </c>
      <c r="J32" s="9"/>
      <c r="L32" s="9" t="str">
        <f t="shared" si="3"/>
        <v>0000000000</v>
      </c>
      <c r="O32" s="9" t="str">
        <f t="shared" si="4"/>
        <v>0000000000</v>
      </c>
      <c r="R32" s="9" t="str">
        <f t="shared" si="5"/>
        <v>0000000000</v>
      </c>
    </row>
    <row r="33" spans="1:18" x14ac:dyDescent="0.25">
      <c r="A33" s="10"/>
      <c r="B33" s="9" t="str">
        <f t="shared" si="1"/>
        <v>0000000000</v>
      </c>
      <c r="F33" s="9" t="str">
        <f t="shared" si="2"/>
        <v>0000000000</v>
      </c>
      <c r="I33" s="9" t="str">
        <f t="shared" si="0"/>
        <v>0000000000</v>
      </c>
      <c r="J33" s="9"/>
      <c r="L33" s="9" t="str">
        <f t="shared" si="3"/>
        <v>0000000000</v>
      </c>
      <c r="O33" s="9" t="str">
        <f t="shared" si="4"/>
        <v>0000000000</v>
      </c>
      <c r="R33" s="9" t="str">
        <f t="shared" si="5"/>
        <v>0000000000</v>
      </c>
    </row>
    <row r="34" spans="1:18" x14ac:dyDescent="0.25">
      <c r="A34" s="10"/>
      <c r="B34" s="9" t="str">
        <f t="shared" si="1"/>
        <v>0000000000</v>
      </c>
      <c r="F34" s="9" t="str">
        <f t="shared" si="2"/>
        <v>0000000000</v>
      </c>
      <c r="I34" s="9" t="str">
        <f t="shared" si="0"/>
        <v>0000000000</v>
      </c>
      <c r="J34" s="9"/>
      <c r="L34" s="9" t="str">
        <f t="shared" si="3"/>
        <v>0000000000</v>
      </c>
      <c r="O34" s="9" t="str">
        <f t="shared" si="4"/>
        <v>0000000000</v>
      </c>
      <c r="R34" s="9" t="str">
        <f t="shared" si="5"/>
        <v>0000000000</v>
      </c>
    </row>
    <row r="35" spans="1:18" x14ac:dyDescent="0.25">
      <c r="A35" s="10"/>
      <c r="B35" s="9" t="str">
        <f t="shared" si="1"/>
        <v>0000000000</v>
      </c>
      <c r="F35" s="9" t="str">
        <f t="shared" si="2"/>
        <v>0000000000</v>
      </c>
      <c r="I35" s="9" t="str">
        <f t="shared" ref="I35:I54" si="6">TEXT(H35, "0000000000")</f>
        <v>0000000000</v>
      </c>
      <c r="J35" s="9"/>
      <c r="L35" s="9" t="str">
        <f t="shared" si="3"/>
        <v>0000000000</v>
      </c>
      <c r="O35" s="9" t="str">
        <f t="shared" si="4"/>
        <v>0000000000</v>
      </c>
      <c r="R35" s="9" t="str">
        <f t="shared" si="5"/>
        <v>0000000000</v>
      </c>
    </row>
    <row r="36" spans="1:18" x14ac:dyDescent="0.25">
      <c r="A36" s="10"/>
      <c r="B36" s="9" t="str">
        <f t="shared" si="1"/>
        <v>0000000000</v>
      </c>
      <c r="F36" s="9" t="str">
        <f t="shared" si="2"/>
        <v>0000000000</v>
      </c>
      <c r="I36" s="9" t="str">
        <f t="shared" si="6"/>
        <v>0000000000</v>
      </c>
      <c r="J36" s="9"/>
      <c r="L36" s="9" t="str">
        <f t="shared" si="3"/>
        <v>0000000000</v>
      </c>
      <c r="O36" s="9" t="str">
        <f t="shared" si="4"/>
        <v>0000000000</v>
      </c>
      <c r="R36" s="9" t="str">
        <f t="shared" si="5"/>
        <v>0000000000</v>
      </c>
    </row>
    <row r="37" spans="1:18" x14ac:dyDescent="0.25">
      <c r="A37" s="10"/>
      <c r="B37" s="9" t="str">
        <f t="shared" si="1"/>
        <v>0000000000</v>
      </c>
      <c r="F37" s="9" t="str">
        <f t="shared" si="2"/>
        <v>0000000000</v>
      </c>
      <c r="I37" s="9" t="str">
        <f t="shared" si="6"/>
        <v>0000000000</v>
      </c>
      <c r="J37" s="9"/>
      <c r="L37" s="9" t="str">
        <f t="shared" si="3"/>
        <v>0000000000</v>
      </c>
      <c r="O37" s="9" t="str">
        <f t="shared" si="4"/>
        <v>0000000000</v>
      </c>
      <c r="R37" s="9" t="str">
        <f t="shared" si="5"/>
        <v>0000000000</v>
      </c>
    </row>
    <row r="38" spans="1:18" x14ac:dyDescent="0.25">
      <c r="A38" s="10"/>
      <c r="B38" s="9" t="str">
        <f t="shared" si="1"/>
        <v>0000000000</v>
      </c>
      <c r="F38" s="9" t="str">
        <f t="shared" si="2"/>
        <v>0000000000</v>
      </c>
      <c r="I38" s="9" t="str">
        <f t="shared" si="6"/>
        <v>0000000000</v>
      </c>
      <c r="J38" s="9"/>
      <c r="L38" s="9" t="str">
        <f t="shared" si="3"/>
        <v>0000000000</v>
      </c>
      <c r="O38" s="9" t="str">
        <f t="shared" si="4"/>
        <v>0000000000</v>
      </c>
      <c r="R38" s="9" t="str">
        <f t="shared" si="5"/>
        <v>0000000000</v>
      </c>
    </row>
    <row r="39" spans="1:18" x14ac:dyDescent="0.25">
      <c r="A39" s="10"/>
      <c r="B39" s="9" t="str">
        <f t="shared" si="1"/>
        <v>0000000000</v>
      </c>
      <c r="F39" s="9" t="str">
        <f t="shared" si="2"/>
        <v>0000000000</v>
      </c>
      <c r="I39" s="9" t="str">
        <f t="shared" si="6"/>
        <v>0000000000</v>
      </c>
      <c r="J39" s="9"/>
      <c r="L39" s="9" t="str">
        <f t="shared" si="3"/>
        <v>0000000000</v>
      </c>
      <c r="O39" s="9" t="str">
        <f t="shared" si="4"/>
        <v>0000000000</v>
      </c>
      <c r="R39" s="9" t="str">
        <f t="shared" si="5"/>
        <v>0000000000</v>
      </c>
    </row>
    <row r="40" spans="1:18" x14ac:dyDescent="0.25">
      <c r="A40" s="10"/>
      <c r="B40" s="9" t="str">
        <f t="shared" si="1"/>
        <v>0000000000</v>
      </c>
      <c r="F40" s="9" t="str">
        <f t="shared" si="2"/>
        <v>0000000000</v>
      </c>
      <c r="I40" s="9" t="str">
        <f t="shared" si="6"/>
        <v>0000000000</v>
      </c>
      <c r="J40" s="9"/>
      <c r="L40" s="9" t="str">
        <f t="shared" si="3"/>
        <v>0000000000</v>
      </c>
      <c r="O40" s="9" t="str">
        <f t="shared" si="4"/>
        <v>0000000000</v>
      </c>
      <c r="R40" s="9" t="str">
        <f t="shared" si="5"/>
        <v>0000000000</v>
      </c>
    </row>
    <row r="41" spans="1:18" x14ac:dyDescent="0.25">
      <c r="A41" s="10"/>
      <c r="B41" s="9" t="str">
        <f t="shared" si="1"/>
        <v>0000000000</v>
      </c>
      <c r="F41" s="9" t="str">
        <f t="shared" si="2"/>
        <v>0000000000</v>
      </c>
      <c r="I41" s="9" t="str">
        <f t="shared" si="6"/>
        <v>0000000000</v>
      </c>
      <c r="J41" s="9"/>
      <c r="L41" s="9" t="str">
        <f t="shared" si="3"/>
        <v>0000000000</v>
      </c>
      <c r="O41" s="9" t="str">
        <f t="shared" si="4"/>
        <v>0000000000</v>
      </c>
      <c r="R41" s="9" t="str">
        <f t="shared" si="5"/>
        <v>0000000000</v>
      </c>
    </row>
    <row r="42" spans="1:18" x14ac:dyDescent="0.25">
      <c r="A42" s="10"/>
      <c r="B42" s="9" t="str">
        <f t="shared" si="1"/>
        <v>0000000000</v>
      </c>
      <c r="F42" s="9" t="str">
        <f t="shared" si="2"/>
        <v>0000000000</v>
      </c>
      <c r="I42" s="9" t="str">
        <f t="shared" si="6"/>
        <v>0000000000</v>
      </c>
      <c r="J42" s="9"/>
      <c r="L42" s="9" t="str">
        <f t="shared" si="3"/>
        <v>0000000000</v>
      </c>
      <c r="O42" s="9" t="str">
        <f t="shared" si="4"/>
        <v>0000000000</v>
      </c>
      <c r="R42" s="9" t="str">
        <f t="shared" si="5"/>
        <v>0000000000</v>
      </c>
    </row>
    <row r="43" spans="1:18" x14ac:dyDescent="0.25">
      <c r="A43" s="10"/>
      <c r="B43" s="9" t="str">
        <f t="shared" si="1"/>
        <v>0000000000</v>
      </c>
      <c r="F43" s="9" t="str">
        <f t="shared" si="2"/>
        <v>0000000000</v>
      </c>
      <c r="I43" s="9" t="str">
        <f t="shared" si="6"/>
        <v>0000000000</v>
      </c>
      <c r="J43" s="9"/>
      <c r="L43" s="9" t="str">
        <f t="shared" si="3"/>
        <v>0000000000</v>
      </c>
      <c r="O43" s="9" t="str">
        <f t="shared" si="4"/>
        <v>0000000000</v>
      </c>
      <c r="R43" s="9" t="str">
        <f t="shared" si="5"/>
        <v>0000000000</v>
      </c>
    </row>
    <row r="44" spans="1:18" x14ac:dyDescent="0.25">
      <c r="A44" s="10"/>
      <c r="B44" s="9" t="str">
        <f t="shared" si="1"/>
        <v>0000000000</v>
      </c>
      <c r="F44" s="9" t="str">
        <f t="shared" si="2"/>
        <v>0000000000</v>
      </c>
      <c r="I44" s="9" t="str">
        <f t="shared" si="6"/>
        <v>0000000000</v>
      </c>
      <c r="J44" s="9"/>
      <c r="L44" s="9" t="str">
        <f t="shared" si="3"/>
        <v>0000000000</v>
      </c>
      <c r="O44" s="9" t="str">
        <f t="shared" si="4"/>
        <v>0000000000</v>
      </c>
      <c r="R44" s="9" t="str">
        <f t="shared" si="5"/>
        <v>0000000000</v>
      </c>
    </row>
    <row r="45" spans="1:18" x14ac:dyDescent="0.25">
      <c r="A45" s="10"/>
      <c r="B45" s="9" t="str">
        <f t="shared" si="1"/>
        <v>0000000000</v>
      </c>
      <c r="F45" s="9" t="str">
        <f t="shared" si="2"/>
        <v>0000000000</v>
      </c>
      <c r="I45" s="9" t="str">
        <f t="shared" si="6"/>
        <v>0000000000</v>
      </c>
      <c r="J45" s="9"/>
      <c r="L45" s="9" t="str">
        <f t="shared" si="3"/>
        <v>0000000000</v>
      </c>
      <c r="O45" s="9" t="str">
        <f t="shared" si="4"/>
        <v>0000000000</v>
      </c>
      <c r="R45" s="9" t="str">
        <f t="shared" si="5"/>
        <v>0000000000</v>
      </c>
    </row>
    <row r="46" spans="1:18" x14ac:dyDescent="0.25">
      <c r="A46" s="10"/>
      <c r="B46" s="9" t="str">
        <f t="shared" si="1"/>
        <v>0000000000</v>
      </c>
      <c r="F46" s="9" t="str">
        <f t="shared" si="2"/>
        <v>0000000000</v>
      </c>
      <c r="I46" s="9" t="str">
        <f t="shared" si="6"/>
        <v>0000000000</v>
      </c>
      <c r="J46" s="9"/>
      <c r="L46" s="9" t="str">
        <f t="shared" si="3"/>
        <v>0000000000</v>
      </c>
      <c r="O46" s="9" t="str">
        <f t="shared" si="4"/>
        <v>0000000000</v>
      </c>
      <c r="R46" s="9" t="str">
        <f t="shared" si="5"/>
        <v>0000000000</v>
      </c>
    </row>
    <row r="47" spans="1:18" x14ac:dyDescent="0.25">
      <c r="A47" s="10"/>
      <c r="B47" s="9" t="str">
        <f t="shared" si="1"/>
        <v>0000000000</v>
      </c>
      <c r="F47" s="9" t="str">
        <f t="shared" si="2"/>
        <v>0000000000</v>
      </c>
      <c r="I47" s="9" t="str">
        <f t="shared" si="6"/>
        <v>0000000000</v>
      </c>
      <c r="J47" s="9"/>
      <c r="L47" s="9" t="str">
        <f t="shared" si="3"/>
        <v>0000000000</v>
      </c>
      <c r="O47" s="9" t="str">
        <f t="shared" si="4"/>
        <v>0000000000</v>
      </c>
      <c r="R47" s="9" t="str">
        <f t="shared" si="5"/>
        <v>0000000000</v>
      </c>
    </row>
    <row r="48" spans="1:18" x14ac:dyDescent="0.25">
      <c r="A48" s="10"/>
      <c r="B48" s="9" t="str">
        <f t="shared" si="1"/>
        <v>0000000000</v>
      </c>
      <c r="F48" s="9" t="str">
        <f t="shared" si="2"/>
        <v>0000000000</v>
      </c>
      <c r="I48" s="9" t="str">
        <f t="shared" si="6"/>
        <v>0000000000</v>
      </c>
      <c r="J48" s="9"/>
      <c r="L48" s="9" t="str">
        <f t="shared" si="3"/>
        <v>0000000000</v>
      </c>
      <c r="O48" s="9" t="str">
        <f t="shared" si="4"/>
        <v>0000000000</v>
      </c>
      <c r="R48" s="9" t="str">
        <f t="shared" si="5"/>
        <v>0000000000</v>
      </c>
    </row>
    <row r="49" spans="1:18" x14ac:dyDescent="0.25">
      <c r="A49" s="10"/>
      <c r="B49" s="9" t="str">
        <f t="shared" si="1"/>
        <v>0000000000</v>
      </c>
      <c r="F49" s="9" t="str">
        <f t="shared" si="2"/>
        <v>0000000000</v>
      </c>
      <c r="I49" s="9" t="str">
        <f t="shared" si="6"/>
        <v>0000000000</v>
      </c>
      <c r="J49" s="9"/>
      <c r="L49" s="9" t="str">
        <f t="shared" si="3"/>
        <v>0000000000</v>
      </c>
      <c r="O49" s="9" t="str">
        <f t="shared" si="4"/>
        <v>0000000000</v>
      </c>
      <c r="R49" s="9" t="str">
        <f t="shared" si="5"/>
        <v>0000000000</v>
      </c>
    </row>
    <row r="50" spans="1:18" x14ac:dyDescent="0.25">
      <c r="A50" s="10"/>
      <c r="B50" s="9" t="str">
        <f t="shared" si="1"/>
        <v>0000000000</v>
      </c>
      <c r="F50" s="9" t="str">
        <f t="shared" si="2"/>
        <v>0000000000</v>
      </c>
      <c r="I50" s="9" t="str">
        <f t="shared" si="6"/>
        <v>0000000000</v>
      </c>
      <c r="J50" s="9"/>
      <c r="L50" s="9" t="str">
        <f t="shared" si="3"/>
        <v>0000000000</v>
      </c>
      <c r="O50" s="9" t="str">
        <f t="shared" si="4"/>
        <v>0000000000</v>
      </c>
      <c r="R50" s="9" t="str">
        <f t="shared" si="5"/>
        <v>0000000000</v>
      </c>
    </row>
    <row r="51" spans="1:18" x14ac:dyDescent="0.25">
      <c r="A51" s="10"/>
      <c r="B51" s="9" t="str">
        <f t="shared" si="1"/>
        <v>0000000000</v>
      </c>
      <c r="F51" s="9" t="str">
        <f t="shared" si="2"/>
        <v>0000000000</v>
      </c>
      <c r="I51" s="9" t="str">
        <f t="shared" si="6"/>
        <v>0000000000</v>
      </c>
      <c r="J51" s="9"/>
      <c r="L51" s="9" t="str">
        <f t="shared" si="3"/>
        <v>0000000000</v>
      </c>
      <c r="O51" s="9" t="str">
        <f t="shared" si="4"/>
        <v>0000000000</v>
      </c>
      <c r="R51" s="9" t="str">
        <f t="shared" si="5"/>
        <v>0000000000</v>
      </c>
    </row>
    <row r="52" spans="1:18" x14ac:dyDescent="0.25">
      <c r="A52" s="10"/>
      <c r="B52" s="9" t="str">
        <f t="shared" si="1"/>
        <v>0000000000</v>
      </c>
      <c r="F52" s="9" t="str">
        <f t="shared" si="2"/>
        <v>0000000000</v>
      </c>
      <c r="I52" s="9" t="str">
        <f t="shared" si="6"/>
        <v>0000000000</v>
      </c>
      <c r="J52" s="9"/>
      <c r="L52" s="9" t="str">
        <f t="shared" si="3"/>
        <v>0000000000</v>
      </c>
      <c r="O52" s="9" t="str">
        <f t="shared" si="4"/>
        <v>0000000000</v>
      </c>
      <c r="R52" s="9" t="str">
        <f t="shared" si="5"/>
        <v>0000000000</v>
      </c>
    </row>
    <row r="53" spans="1:18" x14ac:dyDescent="0.25">
      <c r="A53" s="10"/>
      <c r="B53" s="9" t="str">
        <f t="shared" si="1"/>
        <v>0000000000</v>
      </c>
      <c r="F53" s="9" t="str">
        <f t="shared" si="2"/>
        <v>0000000000</v>
      </c>
      <c r="I53" s="9" t="str">
        <f t="shared" si="6"/>
        <v>0000000000</v>
      </c>
      <c r="J53" s="9"/>
      <c r="L53" s="9" t="str">
        <f t="shared" si="3"/>
        <v>0000000000</v>
      </c>
      <c r="O53" s="9" t="str">
        <f t="shared" si="4"/>
        <v>0000000000</v>
      </c>
      <c r="R53" s="9" t="str">
        <f t="shared" si="5"/>
        <v>0000000000</v>
      </c>
    </row>
    <row r="54" spans="1:18" x14ac:dyDescent="0.25">
      <c r="A54" s="10"/>
      <c r="B54" s="9" t="str">
        <f t="shared" si="1"/>
        <v>0000000000</v>
      </c>
      <c r="F54" s="9" t="str">
        <f t="shared" si="2"/>
        <v>0000000000</v>
      </c>
      <c r="I54" s="9" t="str">
        <f t="shared" si="6"/>
        <v>0000000000</v>
      </c>
      <c r="J54" s="9"/>
      <c r="L54" s="9" t="str">
        <f t="shared" si="3"/>
        <v>0000000000</v>
      </c>
      <c r="O54" s="9" t="str">
        <f t="shared" si="4"/>
        <v>0000000000</v>
      </c>
      <c r="R54" s="9" t="str">
        <f t="shared" si="5"/>
        <v>0000000000</v>
      </c>
    </row>
    <row r="55" spans="1:18" x14ac:dyDescent="0.25">
      <c r="A55" s="10"/>
      <c r="B55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Daily</vt:lpstr>
      <vt:lpstr>Output</vt:lpstr>
      <vt:lpstr>Products</vt:lpstr>
      <vt:lpstr>L1P</vt:lpstr>
      <vt:lpstr>L2P</vt:lpstr>
      <vt:lpstr>L3P</vt:lpstr>
      <vt:lpstr>L5P</vt:lpstr>
      <vt:lpstr>L6P</vt:lpstr>
      <vt:lpstr>L7P</vt:lpstr>
      <vt:lpstr>L7P2</vt:lpstr>
      <vt:lpstr>L7Prod</vt:lpstr>
      <vt:lpstr>Line2</vt:lpstr>
      <vt:lpstr>Line4</vt:lpstr>
      <vt:lpstr>Line5</vt:lpstr>
      <vt:lpstr>Line6</vt:lpstr>
      <vt:lpstr>Line7</vt:lpstr>
      <vt:lpstr>Testone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Locke</dc:creator>
  <cp:lastModifiedBy>Trevor Locke</cp:lastModifiedBy>
  <dcterms:created xsi:type="dcterms:W3CDTF">2021-05-03T05:35:25Z</dcterms:created>
  <dcterms:modified xsi:type="dcterms:W3CDTF">2021-05-19T00:31:35Z</dcterms:modified>
</cp:coreProperties>
</file>