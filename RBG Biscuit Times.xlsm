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SAFP1\Quality\Material Testers\Input Cans\"/>
    </mc:Choice>
  </mc:AlternateContent>
  <xr:revisionPtr revIDLastSave="0" documentId="13_ncr:1_{24995D3E-6F8D-4BB1-A743-3D428EB73F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ily" sheetId="13" r:id="rId1"/>
    <sheet name="Output" sheetId="14" state="hidden" r:id="rId2"/>
    <sheet name="Products" sheetId="12" r:id="rId3"/>
  </sheets>
  <definedNames>
    <definedName name="L1P">Products!$B$3:$B$54</definedName>
    <definedName name="L2P">Products!$F$3:$F$54</definedName>
    <definedName name="L3P">Products!$I$3:$I$54</definedName>
    <definedName name="L5P">Products!$L$3:$L$54</definedName>
    <definedName name="L6P">Products!$O$3:$O$54</definedName>
    <definedName name="L7P">Products!$R$3:$R$54</definedName>
    <definedName name="L7P2">Products!$R$3:$R$54,Products!$R$55</definedName>
    <definedName name="L7Prod">Products!$R$3:$R$52</definedName>
    <definedName name="Line1">Products!#REF!</definedName>
    <definedName name="Line1P">Products!#REF!</definedName>
    <definedName name="Line2">Products!$E$3:$E$55</definedName>
    <definedName name="Line4">Products!$H$3:$H$54</definedName>
    <definedName name="Line5">Products!$K$3:$K$54</definedName>
    <definedName name="Line6">Products!$N$3:$N$54</definedName>
    <definedName name="Line7">Products!$Q$3:$Q$54</definedName>
    <definedName name="Testone">Products!$B$3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14" l="1"/>
  <c r="B5" i="14"/>
  <c r="H1" i="13"/>
  <c r="L4" i="13"/>
  <c r="L5" i="13" s="1"/>
  <c r="B41" i="14"/>
  <c r="B43" i="14"/>
  <c r="B40" i="14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4" i="12"/>
  <c r="R3" i="12"/>
  <c r="R9" i="12"/>
  <c r="R8" i="12"/>
  <c r="R7" i="12"/>
  <c r="R18" i="12"/>
  <c r="R16" i="12"/>
  <c r="R11" i="12"/>
  <c r="R6" i="12"/>
  <c r="R17" i="12"/>
  <c r="R13" i="12"/>
  <c r="R5" i="12"/>
  <c r="R12" i="12"/>
  <c r="R15" i="12"/>
  <c r="R14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3" i="12"/>
  <c r="O20" i="12"/>
  <c r="O18" i="12"/>
  <c r="O17" i="12"/>
  <c r="O19" i="12"/>
  <c r="O14" i="12"/>
  <c r="O13" i="12"/>
  <c r="O12" i="12"/>
  <c r="O11" i="12"/>
  <c r="O5" i="12"/>
  <c r="O4" i="12"/>
  <c r="O3" i="12"/>
  <c r="O21" i="12"/>
  <c r="O16" i="12"/>
  <c r="O6" i="12"/>
  <c r="O15" i="12"/>
  <c r="O27" i="12"/>
  <c r="O9" i="12"/>
  <c r="O8" i="12"/>
  <c r="O10" i="12"/>
  <c r="O7" i="12"/>
  <c r="O22" i="12"/>
  <c r="O25" i="12"/>
  <c r="O24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3" i="12"/>
  <c r="L3" i="12"/>
  <c r="L11" i="12"/>
  <c r="L10" i="12"/>
  <c r="L12" i="12"/>
  <c r="L7" i="12"/>
  <c r="L6" i="12"/>
  <c r="L5" i="12"/>
  <c r="L4" i="12"/>
  <c r="L14" i="12"/>
  <c r="L9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2" i="12"/>
  <c r="I3" i="12"/>
  <c r="I13" i="12"/>
  <c r="I10" i="12"/>
  <c r="I4" i="12"/>
  <c r="I9" i="12"/>
  <c r="I8" i="12"/>
  <c r="I7" i="12"/>
  <c r="I5" i="12"/>
  <c r="I6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8" i="12"/>
  <c r="F7" i="12"/>
  <c r="F11" i="12"/>
  <c r="F6" i="12"/>
  <c r="F10" i="12"/>
  <c r="F9" i="12"/>
  <c r="F22" i="12"/>
  <c r="F19" i="12"/>
  <c r="F13" i="12"/>
  <c r="F12" i="12"/>
  <c r="F18" i="12"/>
  <c r="F16" i="12"/>
  <c r="F3" i="12"/>
  <c r="F4" i="12"/>
  <c r="F15" i="12"/>
  <c r="F14" i="12"/>
  <c r="F20" i="12"/>
  <c r="F21" i="12"/>
  <c r="F5" i="12"/>
  <c r="R10" i="12"/>
  <c r="O26" i="12"/>
  <c r="L8" i="12"/>
  <c r="I11" i="12"/>
  <c r="F17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13" i="12"/>
  <c r="B11" i="12"/>
  <c r="B16" i="12"/>
  <c r="B15" i="12"/>
  <c r="B17" i="12"/>
  <c r="B8" i="12"/>
  <c r="B7" i="12"/>
  <c r="B9" i="12"/>
  <c r="B6" i="12"/>
  <c r="B21" i="12"/>
  <c r="B19" i="12"/>
  <c r="B4" i="12"/>
  <c r="B3" i="12"/>
  <c r="B14" i="12"/>
  <c r="B5" i="12"/>
  <c r="B10" i="12"/>
  <c r="B12" i="12"/>
  <c r="B18" i="12"/>
  <c r="B20" i="12"/>
  <c r="B25" i="14"/>
  <c r="B24" i="14"/>
  <c r="B22" i="14"/>
  <c r="B21" i="14"/>
  <c r="B19" i="14"/>
  <c r="B18" i="14"/>
  <c r="B68" i="14"/>
  <c r="B67" i="14"/>
  <c r="B65" i="14"/>
  <c r="B64" i="14"/>
  <c r="B62" i="14"/>
  <c r="B57" i="14"/>
  <c r="B58" i="14"/>
  <c r="B61" i="14"/>
  <c r="B44" i="14"/>
  <c r="B55" i="14"/>
  <c r="B54" i="14"/>
  <c r="B52" i="14"/>
  <c r="B51" i="14"/>
  <c r="B46" i="14"/>
  <c r="B47" i="14"/>
  <c r="B36" i="14"/>
  <c r="B35" i="14" a="1"/>
  <c r="B35" i="14" s="1"/>
  <c r="B32" i="14"/>
  <c r="B29" i="14"/>
  <c r="B30" i="14"/>
  <c r="B15" i="14"/>
  <c r="B14" i="14"/>
  <c r="B12" i="14"/>
  <c r="B11" i="14"/>
  <c r="B9" i="14" l="1"/>
  <c r="B8" i="14"/>
  <c r="B3" i="14"/>
  <c r="L2" i="13"/>
  <c r="L3" i="13" s="1"/>
  <c r="B2" i="14" s="1"/>
  <c r="L1" i="13"/>
  <c r="B1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tc={9EB5D249-C5A0-4CB2-AE40-C9114CD1A30F}</author>
    <author>tc={8C22A38E-32E6-49F7-9B02-8311ACD534E9}</author>
    <author>tc={F98BA8FA-5784-4222-BEBE-1CBBCBA9BC34}</author>
    <author>tc={654D8553-FD86-4B15-B554-BF5147596498}</author>
    <author>tc={0A08ADFE-FD96-4217-829F-7D3A02B14A99}</author>
    <author>tc={7C446CA6-906C-4851-8766-4238B6CC9DE7}</author>
    <author>tc={B5006793-440A-4325-89AA-CD039D7AFA2D}</author>
    <author>tc={0A9F16EC-48FC-4556-A9E7-70C5DEDD2366}</author>
    <author>tc={6AB8273A-D6B3-4535-A5E1-D928E754C9E4}</author>
    <author>tc={826E5698-5204-48BC-AF7C-3E6D3ECD579F}</author>
    <author>tc={9ADFACD5-C0B7-4871-931C-369071368BFC}</author>
    <author>tc={3ACF6FF3-8658-4119-B4FE-2B7429F07194}</author>
    <author>tc={63FB6421-4385-4496-A281-90346419E819}</author>
    <author>tc={2F3A0B99-9565-4397-ABB8-64123C9E3D11}</author>
    <author>tc={0CCFC175-BA24-4ACC-9542-93694E4A9512}</author>
    <author>tc={E873754E-6D6D-4CB4-94CE-FCA00E8D4824}</author>
    <author>tc={31FDC21A-1350-424A-9F8B-40E399F49643}</author>
    <author>tc={31FDC21A-1350-424B-9F8B-40E399F49643}</author>
    <author>tc={0099382C-91D1-43A5-BA0E-DE71C2917BC1}</author>
  </authors>
  <commentList>
    <comment ref="B3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MQIS initials if using a shared account</t>
      </text>
    </comment>
    <comment ref="B11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5" authorId="2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9" authorId="3" shapeId="0" xr:uid="{00000000-0006-0000-00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27" authorId="4" shapeId="0" xr:uid="{00000000-0006-0000-0000-000005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1" authorId="5" shapeId="0" xr:uid="{00000000-0006-0000-0000-000006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35" authorId="6" shapeId="0" xr:uid="{00000000-0006-0000-0000-000007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4" authorId="7" shapeId="0" xr:uid="{00000000-0006-0000-0000-000008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48" authorId="8" shapeId="0" xr:uid="{00000000-0006-0000-0000-000009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52" authorId="9" shapeId="0" xr:uid="{00000000-0006-0000-0000-00000A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1" authorId="10" shapeId="0" xr:uid="{00000000-0006-0000-0000-00000B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5" authorId="11" shapeId="0" xr:uid="{00000000-0006-0000-0000-00000C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69" authorId="12" shapeId="0" xr:uid="{00000000-0006-0000-0000-00000D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78" authorId="13" shapeId="0" xr:uid="{00000000-0006-0000-0000-00000E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2" authorId="14" shapeId="0" xr:uid="{00000000-0006-0000-0000-00000F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86" authorId="15" shapeId="0" xr:uid="{00000000-0006-0000-0000-000010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4" authorId="16" shapeId="0" xr:uid="{00000000-0006-0000-0000-00001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98" authorId="17" shapeId="0" xr:uid="{00000000-0006-0000-0000-00001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  <comment ref="B102" authorId="18" shapeId="0" xr:uid="{00000000-0006-0000-0000-00001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to reflect the time the cans was pulled, DO NOT LEAVE A COMMA AT THE FRONT OR THE END. All checks must have a comma between them</t>
      </text>
    </comment>
  </commentList>
</comments>
</file>

<file path=xl/sharedStrings.xml><?xml version="1.0" encoding="utf-8"?>
<sst xmlns="http://schemas.openxmlformats.org/spreadsheetml/2006/main" count="268" uniqueCount="129">
  <si>
    <t>Line 1</t>
  </si>
  <si>
    <t>Line 2</t>
  </si>
  <si>
    <t>Line 4</t>
  </si>
  <si>
    <t>Line 5</t>
  </si>
  <si>
    <t>Line 6</t>
  </si>
  <si>
    <t>Line 7</t>
  </si>
  <si>
    <t>Initials:</t>
  </si>
  <si>
    <t>RBG Line 1</t>
  </si>
  <si>
    <t>Running?</t>
  </si>
  <si>
    <t>Shutdown?</t>
  </si>
  <si>
    <t>Product?</t>
  </si>
  <si>
    <t>Checks:</t>
  </si>
  <si>
    <t>Change Over?</t>
  </si>
  <si>
    <t xml:space="preserve"> 2nd Change Over?</t>
  </si>
  <si>
    <t>Micro?</t>
  </si>
  <si>
    <t>RBG Line 2</t>
  </si>
  <si>
    <t>RBG Line 4</t>
  </si>
  <si>
    <t>RBG Line 5</t>
  </si>
  <si>
    <t>RBG Line 6</t>
  </si>
  <si>
    <t>RBG Line 7</t>
  </si>
  <si>
    <t xml:space="preserve">productionDate:= </t>
  </si>
  <si>
    <t xml:space="preserve">testDate := </t>
  </si>
  <si>
    <t xml:space="preserve">L1product:= </t>
  </si>
  <si>
    <t xml:space="preserve">L1cans := </t>
  </si>
  <si>
    <t xml:space="preserve">L2product:= </t>
  </si>
  <si>
    <t xml:space="preserve">L2cans := </t>
  </si>
  <si>
    <t>previousDate:=</t>
  </si>
  <si>
    <t xml:space="preserve">L1Changeover1:= </t>
  </si>
  <si>
    <t xml:space="preserve">L1cansCO1 := </t>
  </si>
  <si>
    <t>L1Running:=</t>
  </si>
  <si>
    <t>L1shutdown:=</t>
  </si>
  <si>
    <t xml:space="preserve">L1ProductChangeover1:= </t>
  </si>
  <si>
    <t xml:space="preserve">L1Changeover2:= </t>
  </si>
  <si>
    <t xml:space="preserve">L1ProductChangeover2:= </t>
  </si>
  <si>
    <t xml:space="preserve">L1cansCO2 := </t>
  </si>
  <si>
    <t>L2shutdown:=</t>
  </si>
  <si>
    <t>L2Running:=</t>
  </si>
  <si>
    <t xml:space="preserve">L2Changeover1:= </t>
  </si>
  <si>
    <t xml:space="preserve">L2ProductChangeover1:= </t>
  </si>
  <si>
    <t xml:space="preserve">L2cansCO1 := </t>
  </si>
  <si>
    <t xml:space="preserve">L2Changeover2:= </t>
  </si>
  <si>
    <t xml:space="preserve">L2ProductChangeover2:= </t>
  </si>
  <si>
    <t xml:space="preserve">L2cansCO2 := </t>
  </si>
  <si>
    <t>L4shutdown:=</t>
  </si>
  <si>
    <t>L4Running:=</t>
  </si>
  <si>
    <t xml:space="preserve">L4product:= </t>
  </si>
  <si>
    <t xml:space="preserve">L4cans := </t>
  </si>
  <si>
    <t xml:space="preserve">L4Changeover1:= </t>
  </si>
  <si>
    <t xml:space="preserve">L4ProductChangeover1:= </t>
  </si>
  <si>
    <t xml:space="preserve">L4cansCO1 := </t>
  </si>
  <si>
    <t xml:space="preserve">L4Changeover2:= </t>
  </si>
  <si>
    <t xml:space="preserve">L4ProductChangeover2:= </t>
  </si>
  <si>
    <t xml:space="preserve">L4cansCO2 := </t>
  </si>
  <si>
    <t>L5shutdown:=</t>
  </si>
  <si>
    <t>L5Running:=</t>
  </si>
  <si>
    <t xml:space="preserve">L5product:= </t>
  </si>
  <si>
    <t xml:space="preserve">L5cans := </t>
  </si>
  <si>
    <t xml:space="preserve">L5Changeover1:= </t>
  </si>
  <si>
    <t xml:space="preserve">L5ProductChangeover1:= </t>
  </si>
  <si>
    <t xml:space="preserve">L5cansCO1 := </t>
  </si>
  <si>
    <t xml:space="preserve">L5Changeover2:= </t>
  </si>
  <si>
    <t xml:space="preserve">L5ProductChangeover2:= </t>
  </si>
  <si>
    <t xml:space="preserve">L5cansCO2 := </t>
  </si>
  <si>
    <t>L6shutdown:=</t>
  </si>
  <si>
    <t>L6Running:=</t>
  </si>
  <si>
    <t xml:space="preserve">L6product:= </t>
  </si>
  <si>
    <t xml:space="preserve">L6cans := </t>
  </si>
  <si>
    <t xml:space="preserve">L6Changeover1:= </t>
  </si>
  <si>
    <t xml:space="preserve">L6ProductChangeover1:= </t>
  </si>
  <si>
    <t xml:space="preserve">L6cansCO1 := </t>
  </si>
  <si>
    <t xml:space="preserve">L6Changeover2:= </t>
  </si>
  <si>
    <t xml:space="preserve">L6ProductChangeover2:= </t>
  </si>
  <si>
    <t xml:space="preserve">L6cansCO2 := </t>
  </si>
  <si>
    <t>L7shutdown:=</t>
  </si>
  <si>
    <t>L7Running:=</t>
  </si>
  <si>
    <t xml:space="preserve">L7product:= </t>
  </si>
  <si>
    <t xml:space="preserve">L7cans := </t>
  </si>
  <si>
    <t xml:space="preserve">L7Changeover1:= </t>
  </si>
  <si>
    <t xml:space="preserve">L7ProductChangeover1:= </t>
  </si>
  <si>
    <t xml:space="preserve">L7cansCO1 := </t>
  </si>
  <si>
    <t xml:space="preserve">L7Changeover2:= </t>
  </si>
  <si>
    <t xml:space="preserve">L7ProductChangeover2:= </t>
  </si>
  <si>
    <t xml:space="preserve">L7cansCO2 := </t>
  </si>
  <si>
    <t>L4Micro:=</t>
  </si>
  <si>
    <t>L5Micro:=</t>
  </si>
  <si>
    <t>L6Micro:=</t>
  </si>
  <si>
    <t>Inititals :=</t>
  </si>
  <si>
    <t>Global Inititals</t>
  </si>
  <si>
    <t>Uncheck if line did not run at all during your checks</t>
  </si>
  <si>
    <t>Check if line shutdown during your checks</t>
  </si>
  <si>
    <t>Check if line had at least one change over</t>
  </si>
  <si>
    <t>Check if line had two change overs</t>
  </si>
  <si>
    <t>Drop down list to select second change over product code</t>
  </si>
  <si>
    <t>Drop down list to select first change over product code</t>
  </si>
  <si>
    <t>Drop down list to select first product code</t>
  </si>
  <si>
    <t>Uncheck if operators did not pull a micro sample</t>
  </si>
  <si>
    <t xml:space="preserve">   Click to reset all values back to default</t>
  </si>
  <si>
    <t xml:space="preserve">Press to save and start program. </t>
  </si>
  <si>
    <t>Press ESC to exit program at any time after it begins</t>
  </si>
  <si>
    <t>A MQIS clipboard has to be currently open in the background to any product before hitting submit</t>
  </si>
  <si>
    <t>2300, 2330, 0000, 0030, 0100, 0130, 0200, 0230, 0300, 0330, 0400, 0430, 0500, 0530, 0600, 0630</t>
  </si>
  <si>
    <t>1st Shift</t>
  </si>
  <si>
    <t>3rd Shit</t>
  </si>
  <si>
    <t>1500, 1530, 1600, 1630, 1700, 1730, 1800, 1830, 1900, 1930, 2000, 2030, 2100, 2130, 2200, 2230</t>
  </si>
  <si>
    <t>Shift:</t>
  </si>
  <si>
    <t>2nd Shit</t>
  </si>
  <si>
    <t>0700, 0730, 0800, 0830, 0900, 0930, 1000, 1030, 1100, 1130, 1200, 1230, 1300, 1330, 1400, 1430</t>
  </si>
  <si>
    <t>Bar Code</t>
  </si>
  <si>
    <t>DESCRIPTION</t>
  </si>
  <si>
    <t>CLIPBOARD#</t>
  </si>
  <si>
    <t>NONE</t>
  </si>
  <si>
    <t>SUPREME FLAKY CR</t>
  </si>
  <si>
    <t>CRI 8 COUNT</t>
  </si>
  <si>
    <t>CRI 5 COUNT</t>
  </si>
  <si>
    <t>ORANGE CR</t>
  </si>
  <si>
    <t>CRESCENT 8 COUNT</t>
  </si>
  <si>
    <t>CRESCENT 4 COUNT</t>
  </si>
  <si>
    <t>FILLED CRESCENT</t>
  </si>
  <si>
    <t>BREADSTICKS 12 COUNT</t>
  </si>
  <si>
    <t>CRST FRENCH BREAD</t>
  </si>
  <si>
    <t>053</t>
  </si>
  <si>
    <t>CDA WIENER WRAP</t>
  </si>
  <si>
    <t>Pull Apart Dough</t>
  </si>
  <si>
    <t>CDA TURNOVER</t>
  </si>
  <si>
    <t>BM 12 COUNT</t>
  </si>
  <si>
    <t>GL BT 5 COUNT</t>
  </si>
  <si>
    <t>GL BM 5 COUNT</t>
  </si>
  <si>
    <t>GH BM 5 COUNT</t>
  </si>
  <si>
    <t>10/23/20211332 00CV1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</si>
</sst>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"/>
    <numFmt numFmtId="166" formatCode="0000000000"/>
  </numFmts>
  <fonts count="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/>
    <xf numFmtId="0" fontId="2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2" borderId="1" xfId="0" applyFill="1" applyBorder="1" applyAlignment="1">
      <alignment horizontal="right"/>
    </xf>
    <xf numFmtId="0" fontId="0" fillId="0" borderId="0" xfId="0"/>
    <xf numFmtId="0" fontId="0" fillId="2" borderId="1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3" fillId="0" borderId="0" xfId="0" applyNumberFormat="1" applyFont="1" applyAlignment="1">
      <alignment horizontal="left"/>
    </xf>
    <xf numFmtId="0" fontId="0" fillId="4" borderId="1" xfId="0" applyNumberFormat="1" applyFont="1" applyFill="1" applyBorder="1" applyAlignment="1">
      <alignment horizontal="center"/>
    </xf>
    <xf numFmtId="0" fontId="3" fillId="0" borderId="0" xfId="0" applyFont="1" applyAlignment="1"/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quotePrefix="1" applyFill="1" applyBorder="1" applyAlignment="1">
      <alignment horizontal="center"/>
    </xf>
    <xf numFmtId="0" fontId="3" fillId="0" borderId="0" xfId="0" applyFont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 applyAlignment="1">
      <alignment horizontal="left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5" xfId="0" quotePrefix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Output!B7" lockText="1" noThreeD="1"/>
</file>

<file path=xl/ctrlProps/ctrlProp2.xml><?xml version="1.0" encoding="utf-8"?>
<formControlPr xmlns="http://schemas.microsoft.com/office/spreadsheetml/2009/9/main" objectType="CheckBox" fmlaLink="Output!B6" lockText="1" noThreeD="1"/>
</file>

<file path=xl/ctrlProps/ctrlProp3.xml><?xml version="1.0" encoding="utf-8"?>
<formControlPr xmlns="http://schemas.microsoft.com/office/spreadsheetml/2009/9/main" objectType="CheckBox" fmlaLink="Output!B10" lockText="1" noThreeD="1"/>
</file>

<file path=xl/ctrlProps/ctrlProp4.xml><?xml version="1.0" encoding="utf-8"?>
<formControlPr xmlns="http://schemas.microsoft.com/office/spreadsheetml/2009/9/main" objectType="CheckBox" fmlaLink="Output!B13" lockText="1" noThreeD="1"/>
</file>

<file path=xl/ctrlProps/ctrlProp5.xml><?xml version="1.0" encoding="utf-8"?>
<formControlPr xmlns="http://schemas.microsoft.com/office/spreadsheetml/2009/9/main" objectType="CheckBox" checked="Checked" fmlaLink="Output!B17" lockText="1" noThreeD="1"/>
</file>

<file path=xl/ctrlProps/ctrlProp6.xml><?xml version="1.0" encoding="utf-8"?>
<formControlPr xmlns="http://schemas.microsoft.com/office/spreadsheetml/2009/9/main" objectType="CheckBox" fmlaLink="Output!B16" lockText="1" noThreeD="1"/>
</file>

<file path=xl/ctrlProps/ctrlProp7.xml><?xml version="1.0" encoding="utf-8"?>
<formControlPr xmlns="http://schemas.microsoft.com/office/spreadsheetml/2009/9/main" objectType="CheckBox" fmlaLink="Output!B20" lockText="1" noThreeD="1"/>
</file>

<file path=xl/ctrlProps/ctrlProp8.xml><?xml version="1.0" encoding="utf-8"?>
<formControlPr xmlns="http://schemas.microsoft.com/office/spreadsheetml/2009/9/main" objectType="CheckBox" fmlaLink="Output!B23" lockText="1" noThreeD="1"/>
</file>

<file path=xl/ctrlProps/ctrlProp9.xml><?xml version="1.0" encoding="utf-8"?>
<formControlPr xmlns="http://schemas.microsoft.com/office/spreadsheetml/2009/9/main" objectType="CheckBox" checked="Checked" fmlaLink="Output!B28" lockText="1" noThreeD="1"/>
</file>

<file path=xl/ctrlProps/ctrlProp10.xml><?xml version="1.0" encoding="utf-8"?>
<formControlPr xmlns="http://schemas.microsoft.com/office/spreadsheetml/2009/9/main" objectType="CheckBox" fmlaLink="Output!B26" lockText="1" noThreeD="1"/>
</file>

<file path=xl/ctrlProps/ctrlProp11.xml><?xml version="1.0" encoding="utf-8"?>
<formControlPr xmlns="http://schemas.microsoft.com/office/spreadsheetml/2009/9/main" objectType="CheckBox" fmlaLink="Output!B31" lockText="1" noThreeD="1"/>
</file>

<file path=xl/ctrlProps/ctrlProp12.xml><?xml version="1.0" encoding="utf-8"?>
<formControlPr xmlns="http://schemas.microsoft.com/office/spreadsheetml/2009/9/main" objectType="CheckBox" fmlaLink="Output!B34" lockText="1" noThreeD="1"/>
</file>

<file path=xl/ctrlProps/ctrlProp13.xml><?xml version="1.0" encoding="utf-8"?>
<formControlPr xmlns="http://schemas.microsoft.com/office/spreadsheetml/2009/9/main" objectType="CheckBox" checked="Checked" fmlaLink="Output!B27" lockText="1" noThreeD="1"/>
</file>

<file path=xl/ctrlProps/ctrlProp14.xml><?xml version="1.0" encoding="utf-8"?>
<formControlPr xmlns="http://schemas.microsoft.com/office/spreadsheetml/2009/9/main" objectType="CheckBox" checked="Checked" fmlaLink="Output!B39" lockText="1" noThreeD="1"/>
</file>

<file path=xl/ctrlProps/ctrlProp15.xml><?xml version="1.0" encoding="utf-8"?>
<formControlPr xmlns="http://schemas.microsoft.com/office/spreadsheetml/2009/9/main" objectType="CheckBox" fmlaLink="Output!B37" lockText="1" noThreeD="1"/>
</file>

<file path=xl/ctrlProps/ctrlProp16.xml><?xml version="1.0" encoding="utf-8"?>
<formControlPr xmlns="http://schemas.microsoft.com/office/spreadsheetml/2009/9/main" objectType="CheckBox" fmlaLink="Output!B42" lockText="1" noThreeD="1"/>
</file>

<file path=xl/ctrlProps/ctrlProp17.xml><?xml version="1.0" encoding="utf-8"?>
<formControlPr xmlns="http://schemas.microsoft.com/office/spreadsheetml/2009/9/main" objectType="CheckBox" fmlaLink="Output!B45" lockText="1" noThreeD="1"/>
</file>

<file path=xl/ctrlProps/ctrlProp18.xml><?xml version="1.0" encoding="utf-8"?>
<formControlPr xmlns="http://schemas.microsoft.com/office/spreadsheetml/2009/9/main" objectType="CheckBox" checked="Checked" fmlaLink="Output!B38" lockText="1" noThreeD="1"/>
</file>

<file path=xl/ctrlProps/ctrlProp19.xml><?xml version="1.0" encoding="utf-8"?>
<formControlPr xmlns="http://schemas.microsoft.com/office/spreadsheetml/2009/9/main" objectType="CheckBox" checked="Checked" fmlaLink="Output!B50" lockText="1" noThreeD="1"/>
</file>

<file path=xl/ctrlProps/ctrlProp20.xml><?xml version="1.0" encoding="utf-8"?>
<formControlPr xmlns="http://schemas.microsoft.com/office/spreadsheetml/2009/9/main" objectType="CheckBox" fmlaLink="Output!B48" lockText="1" noThreeD="1"/>
</file>

<file path=xl/ctrlProps/ctrlProp21.xml><?xml version="1.0" encoding="utf-8"?>
<formControlPr xmlns="http://schemas.microsoft.com/office/spreadsheetml/2009/9/main" objectType="CheckBox" fmlaLink="Output!B53" lockText="1" noThreeD="1"/>
</file>

<file path=xl/ctrlProps/ctrlProp22.xml><?xml version="1.0" encoding="utf-8"?>
<formControlPr xmlns="http://schemas.microsoft.com/office/spreadsheetml/2009/9/main" objectType="CheckBox" fmlaLink="Output!B56" lockText="1" noThreeD="1"/>
</file>

<file path=xl/ctrlProps/ctrlProp23.xml><?xml version="1.0" encoding="utf-8"?>
<formControlPr xmlns="http://schemas.microsoft.com/office/spreadsheetml/2009/9/main" objectType="CheckBox" checked="Checked" fmlaLink="Output!B49" lockText="1" noThreeD="1"/>
</file>

<file path=xl/ctrlProps/ctrlProp24.xml><?xml version="1.0" encoding="utf-8"?>
<formControlPr xmlns="http://schemas.microsoft.com/office/spreadsheetml/2009/9/main" objectType="CheckBox" checked="Checked" fmlaLink="Output!B60" lockText="1" noThreeD="1"/>
</file>

<file path=xl/ctrlProps/ctrlProp25.xml><?xml version="1.0" encoding="utf-8"?>
<formControlPr xmlns="http://schemas.microsoft.com/office/spreadsheetml/2009/9/main" objectType="CheckBox" fmlaLink="Output!B59" lockText="1" noThreeD="1"/>
</file>

<file path=xl/ctrlProps/ctrlProp26.xml><?xml version="1.0" encoding="utf-8"?>
<formControlPr xmlns="http://schemas.microsoft.com/office/spreadsheetml/2009/9/main" objectType="CheckBox" fmlaLink="Output!B63" lockText="1" noThreeD="1"/>
</file>

<file path=xl/ctrlProps/ctrlProp27.xml><?xml version="1.0" encoding="utf-8"?>
<formControlPr xmlns="http://schemas.microsoft.com/office/spreadsheetml/2009/9/main" objectType="CheckBox" fmlaLink="Output!B66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180975</xdr:rowOff>
        </xdr:from>
        <xdr:to>
          <xdr:col>1</xdr:col>
          <xdr:colOff>847725</xdr:colOff>
          <xdr:row>7</xdr:row>
          <xdr:rowOff>9525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</xdr:row>
          <xdr:rowOff>180975</xdr:rowOff>
        </xdr:from>
        <xdr:to>
          <xdr:col>1</xdr:col>
          <xdr:colOff>847725</xdr:colOff>
          <xdr:row>8</xdr:row>
          <xdr:rowOff>9525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1</xdr:col>
          <xdr:colOff>847725</xdr:colOff>
          <xdr:row>13</xdr:row>
          <xdr:rowOff>19050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180975</xdr:rowOff>
        </xdr:from>
        <xdr:to>
          <xdr:col>1</xdr:col>
          <xdr:colOff>847725</xdr:colOff>
          <xdr:row>17</xdr:row>
          <xdr:rowOff>9525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180975</xdr:rowOff>
        </xdr:from>
        <xdr:to>
          <xdr:col>1</xdr:col>
          <xdr:colOff>847725</xdr:colOff>
          <xdr:row>23</xdr:row>
          <xdr:rowOff>9525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0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180975</xdr:rowOff>
        </xdr:from>
        <xdr:to>
          <xdr:col>1</xdr:col>
          <xdr:colOff>847725</xdr:colOff>
          <xdr:row>24</xdr:row>
          <xdr:rowOff>9525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0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1</xdr:col>
          <xdr:colOff>847725</xdr:colOff>
          <xdr:row>29</xdr:row>
          <xdr:rowOff>19050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180975</xdr:rowOff>
        </xdr:from>
        <xdr:to>
          <xdr:col>1</xdr:col>
          <xdr:colOff>847725</xdr:colOff>
          <xdr:row>33</xdr:row>
          <xdr:rowOff>9525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0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180975</xdr:rowOff>
        </xdr:from>
        <xdr:to>
          <xdr:col>1</xdr:col>
          <xdr:colOff>847725</xdr:colOff>
          <xdr:row>39</xdr:row>
          <xdr:rowOff>9525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0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180975</xdr:rowOff>
        </xdr:from>
        <xdr:to>
          <xdr:col>1</xdr:col>
          <xdr:colOff>847725</xdr:colOff>
          <xdr:row>40</xdr:row>
          <xdr:rowOff>9525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0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0</xdr:rowOff>
        </xdr:from>
        <xdr:to>
          <xdr:col>1</xdr:col>
          <xdr:colOff>847725</xdr:colOff>
          <xdr:row>46</xdr:row>
          <xdr:rowOff>19050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0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180975</xdr:rowOff>
        </xdr:from>
        <xdr:to>
          <xdr:col>1</xdr:col>
          <xdr:colOff>847725</xdr:colOff>
          <xdr:row>50</xdr:row>
          <xdr:rowOff>9525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0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180975</xdr:rowOff>
        </xdr:from>
        <xdr:to>
          <xdr:col>1</xdr:col>
          <xdr:colOff>847725</xdr:colOff>
          <xdr:row>41</xdr:row>
          <xdr:rowOff>9525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0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54</xdr:row>
          <xdr:rowOff>180975</xdr:rowOff>
        </xdr:from>
        <xdr:to>
          <xdr:col>1</xdr:col>
          <xdr:colOff>847725</xdr:colOff>
          <xdr:row>56</xdr:row>
          <xdr:rowOff>9525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0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55</xdr:row>
          <xdr:rowOff>180975</xdr:rowOff>
        </xdr:from>
        <xdr:to>
          <xdr:col>1</xdr:col>
          <xdr:colOff>847725</xdr:colOff>
          <xdr:row>57</xdr:row>
          <xdr:rowOff>9525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0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0</xdr:rowOff>
        </xdr:from>
        <xdr:to>
          <xdr:col>1</xdr:col>
          <xdr:colOff>847725</xdr:colOff>
          <xdr:row>63</xdr:row>
          <xdr:rowOff>19050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0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180975</xdr:rowOff>
        </xdr:from>
        <xdr:to>
          <xdr:col>1</xdr:col>
          <xdr:colOff>847725</xdr:colOff>
          <xdr:row>67</xdr:row>
          <xdr:rowOff>9525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0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180975</xdr:rowOff>
        </xdr:from>
        <xdr:to>
          <xdr:col>1</xdr:col>
          <xdr:colOff>847725</xdr:colOff>
          <xdr:row>58</xdr:row>
          <xdr:rowOff>9525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0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71</xdr:row>
          <xdr:rowOff>180975</xdr:rowOff>
        </xdr:from>
        <xdr:to>
          <xdr:col>1</xdr:col>
          <xdr:colOff>847725</xdr:colOff>
          <xdr:row>73</xdr:row>
          <xdr:rowOff>9525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0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72</xdr:row>
          <xdr:rowOff>180975</xdr:rowOff>
        </xdr:from>
        <xdr:to>
          <xdr:col>1</xdr:col>
          <xdr:colOff>847725</xdr:colOff>
          <xdr:row>74</xdr:row>
          <xdr:rowOff>9525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0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79</xdr:row>
          <xdr:rowOff>0</xdr:rowOff>
        </xdr:from>
        <xdr:to>
          <xdr:col>1</xdr:col>
          <xdr:colOff>847725</xdr:colOff>
          <xdr:row>80</xdr:row>
          <xdr:rowOff>19050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0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82</xdr:row>
          <xdr:rowOff>180975</xdr:rowOff>
        </xdr:from>
        <xdr:to>
          <xdr:col>1</xdr:col>
          <xdr:colOff>847725</xdr:colOff>
          <xdr:row>84</xdr:row>
          <xdr:rowOff>9525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0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73</xdr:row>
          <xdr:rowOff>180975</xdr:rowOff>
        </xdr:from>
        <xdr:to>
          <xdr:col>1</xdr:col>
          <xdr:colOff>847725</xdr:colOff>
          <xdr:row>75</xdr:row>
          <xdr:rowOff>9525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0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88</xdr:row>
          <xdr:rowOff>180975</xdr:rowOff>
        </xdr:from>
        <xdr:to>
          <xdr:col>1</xdr:col>
          <xdr:colOff>847725</xdr:colOff>
          <xdr:row>90</xdr:row>
          <xdr:rowOff>9525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0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89</xdr:row>
          <xdr:rowOff>180975</xdr:rowOff>
        </xdr:from>
        <xdr:to>
          <xdr:col>1</xdr:col>
          <xdr:colOff>847725</xdr:colOff>
          <xdr:row>91</xdr:row>
          <xdr:rowOff>9525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0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95</xdr:row>
          <xdr:rowOff>0</xdr:rowOff>
        </xdr:from>
        <xdr:to>
          <xdr:col>1</xdr:col>
          <xdr:colOff>847725</xdr:colOff>
          <xdr:row>96</xdr:row>
          <xdr:rowOff>19050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00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98</xdr:row>
          <xdr:rowOff>180975</xdr:rowOff>
        </xdr:from>
        <xdr:to>
          <xdr:col>1</xdr:col>
          <xdr:colOff>847725</xdr:colOff>
          <xdr:row>100</xdr:row>
          <xdr:rowOff>9525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8</xdr:col>
          <xdr:colOff>514350</xdr:colOff>
          <xdr:row>4</xdr:row>
          <xdr:rowOff>0</xdr:rowOff>
        </xdr:to>
        <xdr:sp macro="" textlink="">
          <xdr:nvSpPr>
            <xdr:cNvPr id="18466" name="CommandButton1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00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104</xdr:row>
          <xdr:rowOff>28575</xdr:rowOff>
        </xdr:from>
        <xdr:to>
          <xdr:col>2</xdr:col>
          <xdr:colOff>571500</xdr:colOff>
          <xdr:row>107</xdr:row>
          <xdr:rowOff>123825</xdr:rowOff>
        </xdr:to>
        <xdr:sp macro="" textlink="">
          <xdr:nvSpPr>
            <xdr:cNvPr id="18483" name="CommandButton7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00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evor Locke" id="{FD72CAB3-03B7-498E-8E52-34BE2BCDE07D}" userId="S::Trevor.Locke@genmills.com::054946e6-b22b-44d4-963e-b3b5e749bde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1-05-18T22:45:43.67" personId="{FD72CAB3-03B7-498E-8E52-34BE2BCDE07D}" id="{9EB5D249-C5A0-4CB2-AE40-C9114CD1A30F}">
    <text>Enter MQIS initials if using a shared account</text>
  </threadedComment>
  <threadedComment ref="B11" dT="2021-05-18T22:47:02.90" personId="{FD72CAB3-03B7-498E-8E52-34BE2BCDE07D}" id="{8C22A38E-32E6-49F7-9B02-8311ACD534E9}">
    <text>Change to reflect the time the cans was pulled, DO NOT LEAVE A COMMA AT THE FRONT OR THE END. All checks must have a comma between them</text>
  </threadedComment>
  <threadedComment ref="B15" dT="2021-05-18T22:47:24.95" personId="{FD72CAB3-03B7-498E-8E52-34BE2BCDE07D}" id="{F98BA8FA-5784-4222-BEBE-1CBBCBA9BC34}">
    <text>Change to reflect the time the cans was pulled, DO NOT LEAVE A COMMA AT THE FRONT OR THE END. All checks must have a comma between them</text>
  </threadedComment>
  <threadedComment ref="B19" dT="2021-05-18T22:47:29.59" personId="{FD72CAB3-03B7-498E-8E52-34BE2BCDE07D}" id="{654D8553-FD86-4B15-B554-BF5147596498}">
    <text>Change to reflect the time the cans was pulled, DO NOT LEAVE A COMMA AT THE FRONT OR THE END. All checks must have a comma between them</text>
  </threadedComment>
  <threadedComment ref="B27" dT="2021-05-18T22:47:55.10" personId="{FD72CAB3-03B7-498E-8E52-34BE2BCDE07D}" id="{0A08ADFE-FD96-4217-829F-7D3A02B14A99}">
    <text>Change to reflect the time the cans was pulled, DO NOT LEAVE A COMMA AT THE FRONT OR THE END. All checks must have a comma between them</text>
  </threadedComment>
  <threadedComment ref="B31" dT="2021-05-18T22:47:58.98" personId="{FD72CAB3-03B7-498E-8E52-34BE2BCDE07D}" id="{7C446CA6-906C-4851-8766-4238B6CC9DE7}">
    <text>Change to reflect the time the cans was pulled, DO NOT LEAVE A COMMA AT THE FRONT OR THE END. All checks must have a comma between them</text>
  </threadedComment>
  <threadedComment ref="B35" dT="2021-05-18T22:48:03.79" personId="{FD72CAB3-03B7-498E-8E52-34BE2BCDE07D}" id="{B5006793-440A-4325-89AA-CD039D7AFA2D}">
    <text>Change to reflect the time the cans was pulled, DO NOT LEAVE A COMMA AT THE FRONT OR THE END. All checks must have a comma between them</text>
  </threadedComment>
  <threadedComment ref="B44" dT="2021-05-18T22:48:13.77" personId="{FD72CAB3-03B7-498E-8E52-34BE2BCDE07D}" id="{0A9F16EC-48FC-4556-A9E7-70C5DEDD2366}">
    <text>Change to reflect the time the cans was pulled, DO NOT LEAVE A COMMA AT THE FRONT OR THE END. All checks must have a comma between them</text>
  </threadedComment>
  <threadedComment ref="B48" dT="2021-05-18T22:48:23.00" personId="{FD72CAB3-03B7-498E-8E52-34BE2BCDE07D}" id="{6AB8273A-D6B3-4535-A5E1-D928E754C9E4}">
    <text>Change to reflect the time the cans was pulled, DO NOT LEAVE A COMMA AT THE FRONT OR THE END. All checks must have a comma between them</text>
  </threadedComment>
  <threadedComment ref="B52" dT="2021-05-18T22:48:26.70" personId="{FD72CAB3-03B7-498E-8E52-34BE2BCDE07D}" id="{826E5698-5204-48BC-AF7C-3E6D3ECD579F}">
    <text>Change to reflect the time the cans was pulled, DO NOT LEAVE A COMMA AT THE FRONT OR THE END. All checks must have a comma between them</text>
  </threadedComment>
  <threadedComment ref="B61" dT="2021-05-18T22:48:38.93" personId="{FD72CAB3-03B7-498E-8E52-34BE2BCDE07D}" id="{9ADFACD5-C0B7-4871-931C-369071368BFC}">
    <text>Change to reflect the time the cans was pulled, DO NOT LEAVE A COMMA AT THE FRONT OR THE END. All checks must have a comma between them</text>
  </threadedComment>
  <threadedComment ref="B65" dT="2021-05-18T22:48:44.94" personId="{FD72CAB3-03B7-498E-8E52-34BE2BCDE07D}" id="{3ACF6FF3-8658-4119-B4FE-2B7429F07194}">
    <text>Change to reflect the time the cans was pulled, DO NOT LEAVE A COMMA AT THE FRONT OR THE END. All checks must have a comma between them</text>
  </threadedComment>
  <threadedComment ref="B69" dT="2021-05-18T22:48:56.08" personId="{FD72CAB3-03B7-498E-8E52-34BE2BCDE07D}" id="{63FB6421-4385-4496-A281-90346419E819}">
    <text>Change to reflect the time the cans was pulled, DO NOT LEAVE A COMMA AT THE FRONT OR THE END. All checks must have a comma between them</text>
  </threadedComment>
  <threadedComment ref="B78" dT="2021-05-18T22:49:01.63" personId="{FD72CAB3-03B7-498E-8E52-34BE2BCDE07D}" id="{2F3A0B99-9565-4397-ABB8-64123C9E3D11}">
    <text>Change to reflect the time the cans was pulled, DO NOT LEAVE A COMMA AT THE FRONT OR THE END. All checks must have a comma between them</text>
  </threadedComment>
  <threadedComment ref="B82" dT="2021-05-18T22:49:04.95" personId="{FD72CAB3-03B7-498E-8E52-34BE2BCDE07D}" id="{0CCFC175-BA24-4ACC-9542-93694E4A9512}">
    <text>Change to reflect the time the cans was pulled, DO NOT LEAVE A COMMA AT THE FRONT OR THE END. All checks must have a comma between them</text>
  </threadedComment>
  <threadedComment ref="B86" dT="2021-05-18T22:49:08.37" personId="{FD72CAB3-03B7-498E-8E52-34BE2BCDE07D}" id="{E873754E-6D6D-4CB4-94CE-FCA00E8D4824}">
    <text>Change to reflect the time the cans was pulled, DO NOT LEAVE A COMMA AT THE FRONT OR THE END. All checks must have a comma between them</text>
  </threadedComment>
  <threadedComment ref="B94" dT="2021-05-18T22:49:16.66" personId="{FD72CAB3-03B7-498E-8E52-34BE2BCDE07D}" id="{31FDC21A-1350-424A-9F8B-40E399F49643}">
    <text>Change to reflect the time the cans was pulled, DO NOT LEAVE A COMMA AT THE FRONT OR THE END. All checks must have a comma between them</text>
  </threadedComment>
  <threadedComment ref="B98" dT="2021-05-18T22:49:16.66" personId="{FD72CAB3-03B7-498E-8E52-34BE2BCDE07D}" id="{31FDC21A-1350-424B-9F8B-40E399F49643}">
    <text>Change to reflect the time the cans was pulled, DO NOT LEAVE A COMMA AT THE FRONT OR THE END. All checks must have a comma between them</text>
  </threadedComment>
  <threadedComment ref="B102" dT="2021-05-18T22:49:20.17" personId="{FD72CAB3-03B7-498E-8E52-34BE2BCDE07D}" id="{0099382C-91D1-43A5-BA0E-DE71C2917BC1}">
    <text>Change to reflect the time the cans was pulled, DO NOT LEAVE A COMMA AT THE FRONT OR THE END. All checks must have a comma between them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ctrlProp" Target="../ctrlProps/ctrlProp1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34" Type="http://schemas.openxmlformats.org/officeDocument/2006/relationships/ctrlProp" Target="../ctrlProps/ctrlProp27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32" Type="http://schemas.openxmlformats.org/officeDocument/2006/relationships/ctrlProp" Target="../ctrlProps/ctrlProp2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microsoft.com/office/2017/10/relationships/threadedComment" Target="../threadedComments/threadedComment1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ctrlProp" Target="../ctrlProps/ctrlProp2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AK107"/>
  <sheetViews>
    <sheetView tabSelected="1" workbookViewId="0">
      <selection activeCell="A3" sqref="A3"/>
    </sheetView>
  </sheetViews>
  <sheetFormatPr defaultRowHeight="15" x14ac:dyDescent="0.25"/>
  <cols>
    <col min="1" max="1" width="17.7109375" bestFit="1" customWidth="1"/>
    <col min="2" max="2" width="18.42578125" customWidth="1"/>
    <col min="6" max="6" width="10.5703125" customWidth="1"/>
    <col min="8" max="8" width="9.140625" hidden="1" customWidth="1"/>
    <col min="11" max="11" width="9.140625" customWidth="1"/>
    <col min="12" max="12" width="21.140625" hidden="1" customWidth="1"/>
    <col min="13" max="17" width="9.140625" customWidth="1"/>
    <col min="21" max="21" width="9.140625" hidden="1" customWidth="1"/>
    <col min="22" max="22" width="83" style="20" hidden="1" customWidth="1"/>
    <col min="23" max="23" width="31.85546875" style="20" customWidth="1"/>
    <col min="24" max="37" width="9.140625" style="20"/>
  </cols>
  <sheetData>
    <row r="1" spans="1:37" ht="24.75" customHeight="1" x14ac:dyDescent="0.25">
      <c r="A1" t="s">
        <v>128</v>
      </c>
      <c r="B1" s="14">
        <v>44492</v>
      </c>
      <c r="D1" s="21"/>
      <c r="E1" s="21"/>
      <c r="H1" t="str">
        <f>VLOOKUP(B2,U1:V3,2,FALSE)</f>
        <v>2300, 2330, 0000, 0030, 0100, 0130, 0200, 0230, 0300, 0330, 0400, 0430, 0500, 0530, 0600, 0630</v>
      </c>
      <c r="I1" s="21"/>
      <c r="J1" s="21"/>
      <c r="L1" s="5" t="str">
        <f>TEXT(B1, "mm/dd/yyyy")</f>
        <v>10/23/2021</v>
      </c>
      <c r="O1" s="23"/>
      <c r="P1" s="23"/>
      <c r="Q1" s="23"/>
      <c r="R1" s="23"/>
      <c r="U1" t="s">
        <v>101</v>
      </c>
      <c r="V1" s="19" t="s">
        <v>100</v>
      </c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</row>
    <row r="2" spans="1:37" x14ac:dyDescent="0.25">
      <c r="A2" t="s">
        <v>104</v>
      </c>
      <c r="B2" s="22" t="s">
        <v>101</v>
      </c>
      <c r="C2" s="4"/>
      <c r="D2" s="16"/>
      <c r="E2" s="16"/>
      <c r="F2" s="16"/>
      <c r="G2" s="16"/>
      <c r="H2" s="4"/>
      <c r="I2" s="4"/>
      <c r="L2" s="3">
        <f>B1 + 1</f>
        <v>44493</v>
      </c>
      <c r="U2" t="s">
        <v>105</v>
      </c>
      <c r="V2" s="19" t="s">
        <v>106</v>
      </c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</row>
    <row r="3" spans="1:37" x14ac:dyDescent="0.25">
      <c r="A3" s="20" t="s">
        <v>6</v>
      </c>
      <c r="B3" s="1"/>
      <c r="L3" t="str">
        <f>TEXT(L2, "m/d/yy")</f>
        <v>10/24/21</v>
      </c>
      <c r="O3" s="18"/>
      <c r="P3" s="18"/>
      <c r="Q3" s="18"/>
      <c r="R3" s="18"/>
      <c r="U3" s="20" t="s">
        <v>102</v>
      </c>
      <c r="V3" s="19" t="s">
        <v>103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x14ac:dyDescent="0.25">
      <c r="J4" s="17" t="s">
        <v>96</v>
      </c>
      <c r="L4" s="6">
        <f>B1 -1</f>
        <v>44491</v>
      </c>
      <c r="O4" s="18"/>
      <c r="P4" s="18"/>
      <c r="Q4" s="18"/>
      <c r="R4" s="18"/>
    </row>
    <row r="5" spans="1:37" ht="23.25" x14ac:dyDescent="0.35">
      <c r="A5" s="31" t="s">
        <v>7</v>
      </c>
      <c r="B5" s="31"/>
      <c r="C5" s="31"/>
      <c r="D5" s="31"/>
      <c r="L5" t="str">
        <f>TEXT(L4, "mm/dd/yyyy")</f>
        <v>10/22/2021</v>
      </c>
    </row>
    <row r="6" spans="1:37" x14ac:dyDescent="0.25">
      <c r="A6" s="4"/>
      <c r="B6" s="4"/>
      <c r="C6" s="4"/>
      <c r="D6" s="4"/>
      <c r="O6" s="16"/>
      <c r="P6" s="16"/>
      <c r="Q6" s="16"/>
      <c r="R6" s="16"/>
    </row>
    <row r="7" spans="1:37" x14ac:dyDescent="0.25">
      <c r="A7" t="s">
        <v>8</v>
      </c>
      <c r="C7" s="30" t="s">
        <v>88</v>
      </c>
      <c r="D7" s="30"/>
      <c r="E7" s="30"/>
      <c r="F7" s="30"/>
      <c r="G7" s="30"/>
      <c r="H7" s="30"/>
      <c r="O7" s="16"/>
      <c r="P7" s="16"/>
      <c r="Q7" s="16"/>
      <c r="R7" s="16"/>
    </row>
    <row r="8" spans="1:37" x14ac:dyDescent="0.25">
      <c r="A8" t="s">
        <v>9</v>
      </c>
      <c r="C8" s="30" t="s">
        <v>89</v>
      </c>
      <c r="D8" s="30"/>
      <c r="E8" s="30"/>
      <c r="F8" s="30"/>
      <c r="G8" s="30"/>
      <c r="H8" s="30"/>
      <c r="T8" s="27" t="s">
        <v>107</v>
      </c>
      <c r="U8" s="35" t="s">
        <v>108</v>
      </c>
      <c r="V8" s="36"/>
      <c r="W8" s="37"/>
      <c r="X8" s="35" t="s">
        <v>109</v>
      </c>
      <c r="Y8" s="37"/>
    </row>
    <row r="9" spans="1:37" x14ac:dyDescent="0.25">
      <c r="T9" s="25">
        <v>501</v>
      </c>
      <c r="U9" s="38" t="s">
        <v>112</v>
      </c>
      <c r="V9" s="39"/>
      <c r="W9" s="40"/>
      <c r="X9" s="38">
        <v>152230000</v>
      </c>
      <c r="Y9" s="40"/>
    </row>
    <row r="10" spans="1:37" x14ac:dyDescent="0.25">
      <c r="A10" t="s">
        <v>10</v>
      </c>
      <c r="B10" s="13"/>
      <c r="C10" s="33" t="s">
        <v>94</v>
      </c>
      <c r="D10" s="33"/>
      <c r="E10" s="33"/>
      <c r="F10" s="33"/>
      <c r="G10" s="33"/>
      <c r="H10" s="33"/>
      <c r="T10" s="28">
        <v>507</v>
      </c>
      <c r="U10" s="42" t="s">
        <v>113</v>
      </c>
      <c r="V10" s="43"/>
      <c r="W10" s="44"/>
      <c r="X10" s="42">
        <v>185620000</v>
      </c>
      <c r="Y10" s="44"/>
    </row>
    <row r="11" spans="1:37" x14ac:dyDescent="0.25">
      <c r="A11" t="s">
        <v>11</v>
      </c>
      <c r="B11" s="32" t="s">
        <v>100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T11" s="25">
        <v>457</v>
      </c>
      <c r="U11" s="38" t="s">
        <v>124</v>
      </c>
      <c r="V11" s="39"/>
      <c r="W11" s="40"/>
      <c r="X11" s="38">
        <v>4619334000</v>
      </c>
      <c r="Y11" s="40"/>
    </row>
    <row r="12" spans="1:37" x14ac:dyDescent="0.25">
      <c r="T12" s="28">
        <v>108</v>
      </c>
      <c r="U12" s="42" t="s">
        <v>125</v>
      </c>
      <c r="V12" s="43"/>
      <c r="W12" s="44"/>
      <c r="X12" s="42">
        <v>148731000</v>
      </c>
      <c r="Y12" s="44"/>
    </row>
    <row r="13" spans="1:37" x14ac:dyDescent="0.25">
      <c r="A13" t="s">
        <v>12</v>
      </c>
      <c r="C13" s="33" t="s">
        <v>90</v>
      </c>
      <c r="D13" s="33"/>
      <c r="E13" s="33"/>
      <c r="F13" s="33"/>
      <c r="G13" s="33"/>
      <c r="T13" s="25">
        <v>109</v>
      </c>
      <c r="U13" s="38" t="s">
        <v>126</v>
      </c>
      <c r="V13" s="39"/>
      <c r="W13" s="40"/>
      <c r="X13" s="38">
        <v>148732000</v>
      </c>
      <c r="Y13" s="40"/>
    </row>
    <row r="14" spans="1:37" x14ac:dyDescent="0.25">
      <c r="A14" t="s">
        <v>10</v>
      </c>
      <c r="B14" s="13"/>
      <c r="C14" s="33" t="s">
        <v>93</v>
      </c>
      <c r="D14" s="33"/>
      <c r="E14" s="33"/>
      <c r="F14" s="33"/>
      <c r="G14" s="33"/>
      <c r="H14" s="33"/>
      <c r="T14" s="28">
        <v>112</v>
      </c>
      <c r="U14" s="42" t="s">
        <v>127</v>
      </c>
      <c r="V14" s="43"/>
      <c r="W14" s="44"/>
      <c r="X14" s="42">
        <v>148733000</v>
      </c>
      <c r="Y14" s="44"/>
    </row>
    <row r="15" spans="1:37" x14ac:dyDescent="0.25">
      <c r="A15" t="s">
        <v>11</v>
      </c>
      <c r="B15" s="32" t="s">
        <v>100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</row>
    <row r="17" spans="1:25" x14ac:dyDescent="0.25">
      <c r="A17" t="s">
        <v>13</v>
      </c>
      <c r="C17" s="33" t="s">
        <v>91</v>
      </c>
      <c r="D17" s="33"/>
      <c r="E17" s="33"/>
      <c r="F17" s="33"/>
      <c r="G17" s="33"/>
      <c r="H17" s="33"/>
    </row>
    <row r="18" spans="1:25" x14ac:dyDescent="0.25">
      <c r="A18" t="s">
        <v>10</v>
      </c>
      <c r="B18" s="13"/>
      <c r="C18" s="33" t="s">
        <v>92</v>
      </c>
      <c r="D18" s="33"/>
      <c r="E18" s="33"/>
      <c r="F18" s="33"/>
      <c r="G18" s="33"/>
      <c r="H18" s="33"/>
    </row>
    <row r="19" spans="1:25" x14ac:dyDescent="0.25">
      <c r="A19" t="s">
        <v>11</v>
      </c>
      <c r="B19" s="32" t="s">
        <v>100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</row>
    <row r="21" spans="1:25" ht="23.25" x14ac:dyDescent="0.35">
      <c r="A21" s="31" t="s">
        <v>15</v>
      </c>
      <c r="B21" s="31"/>
      <c r="C21" s="31"/>
      <c r="D21" s="31"/>
    </row>
    <row r="22" spans="1:25" x14ac:dyDescent="0.25">
      <c r="A22" s="4"/>
      <c r="B22" s="4"/>
      <c r="C22" s="4"/>
      <c r="D22" s="4"/>
      <c r="L22">
        <v>1</v>
      </c>
    </row>
    <row r="23" spans="1:25" x14ac:dyDescent="0.25">
      <c r="A23" t="s">
        <v>8</v>
      </c>
      <c r="C23" s="30" t="s">
        <v>88</v>
      </c>
      <c r="D23" s="30"/>
      <c r="E23" s="30"/>
      <c r="F23" s="30"/>
      <c r="G23" s="30"/>
      <c r="H23" s="30"/>
      <c r="L23" s="15">
        <v>0</v>
      </c>
      <c r="T23" s="27" t="s">
        <v>107</v>
      </c>
      <c r="U23" s="35" t="s">
        <v>108</v>
      </c>
      <c r="V23" s="36"/>
      <c r="W23" s="37"/>
      <c r="X23" s="35" t="s">
        <v>109</v>
      </c>
      <c r="Y23" s="37"/>
    </row>
    <row r="24" spans="1:25" x14ac:dyDescent="0.25">
      <c r="A24" t="s">
        <v>9</v>
      </c>
      <c r="C24" s="30" t="s">
        <v>89</v>
      </c>
      <c r="D24" s="30"/>
      <c r="E24" s="30"/>
      <c r="F24" s="30"/>
      <c r="G24" s="30"/>
      <c r="H24" s="30"/>
      <c r="T24" s="25" t="s">
        <v>110</v>
      </c>
      <c r="U24" s="38" t="s">
        <v>111</v>
      </c>
      <c r="V24" s="39"/>
      <c r="W24" s="40"/>
      <c r="X24" s="41">
        <v>4601766000</v>
      </c>
      <c r="Y24" s="40"/>
    </row>
    <row r="25" spans="1:25" x14ac:dyDescent="0.25">
      <c r="T25" s="28">
        <v>526</v>
      </c>
      <c r="U25" s="42" t="s">
        <v>114</v>
      </c>
      <c r="V25" s="43"/>
      <c r="W25" s="44"/>
      <c r="X25" s="42">
        <v>185030000</v>
      </c>
      <c r="Y25" s="44"/>
    </row>
    <row r="26" spans="1:25" x14ac:dyDescent="0.25">
      <c r="A26" t="s">
        <v>10</v>
      </c>
      <c r="B26" s="11"/>
      <c r="C26" s="33" t="s">
        <v>94</v>
      </c>
      <c r="D26" s="33"/>
      <c r="E26" s="33"/>
      <c r="F26" s="33"/>
      <c r="G26" s="33"/>
      <c r="H26" s="33"/>
      <c r="T26" s="26" t="s">
        <v>110</v>
      </c>
      <c r="U26" s="38" t="s">
        <v>122</v>
      </c>
      <c r="V26" s="39"/>
      <c r="W26" s="40"/>
      <c r="X26" s="38">
        <v>4606200000</v>
      </c>
      <c r="Y26" s="40"/>
    </row>
    <row r="27" spans="1:25" x14ac:dyDescent="0.25">
      <c r="A27" t="s">
        <v>11</v>
      </c>
      <c r="B27" s="32" t="s">
        <v>100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</row>
    <row r="29" spans="1:25" x14ac:dyDescent="0.25">
      <c r="A29" t="s">
        <v>12</v>
      </c>
      <c r="C29" s="33" t="s">
        <v>90</v>
      </c>
      <c r="D29" s="33"/>
      <c r="E29" s="33"/>
      <c r="F29" s="33"/>
      <c r="G29" s="33"/>
    </row>
    <row r="30" spans="1:25" x14ac:dyDescent="0.25">
      <c r="A30" t="s">
        <v>10</v>
      </c>
      <c r="B30" s="11"/>
      <c r="C30" s="33" t="s">
        <v>93</v>
      </c>
      <c r="D30" s="33"/>
      <c r="E30" s="33"/>
      <c r="F30" s="33"/>
      <c r="G30" s="33"/>
      <c r="H30" s="33"/>
    </row>
    <row r="31" spans="1:25" x14ac:dyDescent="0.25">
      <c r="A31" t="s">
        <v>11</v>
      </c>
      <c r="B31" s="32" t="s">
        <v>100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</row>
    <row r="33" spans="1:25" x14ac:dyDescent="0.25">
      <c r="A33" t="s">
        <v>13</v>
      </c>
      <c r="C33" s="33" t="s">
        <v>91</v>
      </c>
      <c r="D33" s="33"/>
      <c r="E33" s="33"/>
      <c r="F33" s="33"/>
      <c r="G33" s="33"/>
      <c r="H33" s="33"/>
    </row>
    <row r="34" spans="1:25" x14ac:dyDescent="0.25">
      <c r="A34" t="s">
        <v>10</v>
      </c>
      <c r="B34" s="11"/>
      <c r="C34" s="33" t="s">
        <v>92</v>
      </c>
      <c r="D34" s="33"/>
      <c r="E34" s="33"/>
      <c r="F34" s="33"/>
      <c r="G34" s="33"/>
      <c r="H34" s="33"/>
    </row>
    <row r="35" spans="1:25" x14ac:dyDescent="0.25">
      <c r="A35" t="s">
        <v>11</v>
      </c>
      <c r="B35" s="32" t="s">
        <v>100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</row>
    <row r="37" spans="1:25" ht="23.25" x14ac:dyDescent="0.35">
      <c r="A37" s="31" t="s">
        <v>16</v>
      </c>
      <c r="B37" s="31"/>
      <c r="C37" s="31"/>
      <c r="D37" s="31"/>
    </row>
    <row r="38" spans="1:25" x14ac:dyDescent="0.25">
      <c r="A38" s="4"/>
      <c r="B38" s="4"/>
      <c r="C38" s="4"/>
      <c r="D38" s="4"/>
      <c r="T38" s="27" t="s">
        <v>107</v>
      </c>
      <c r="U38" s="35" t="s">
        <v>108</v>
      </c>
      <c r="V38" s="36"/>
      <c r="W38" s="37"/>
      <c r="X38" s="35" t="s">
        <v>109</v>
      </c>
      <c r="Y38" s="37"/>
    </row>
    <row r="39" spans="1:25" x14ac:dyDescent="0.25">
      <c r="A39" t="s">
        <v>8</v>
      </c>
      <c r="C39" s="30" t="s">
        <v>88</v>
      </c>
      <c r="D39" s="30"/>
      <c r="E39" s="30"/>
      <c r="F39" s="30"/>
      <c r="G39" s="30"/>
      <c r="H39" s="30"/>
      <c r="T39" s="25">
        <v>401</v>
      </c>
      <c r="U39" s="38" t="s">
        <v>115</v>
      </c>
      <c r="V39" s="39"/>
      <c r="W39" s="40"/>
      <c r="X39" s="38">
        <v>152340000</v>
      </c>
      <c r="Y39" s="40"/>
    </row>
    <row r="40" spans="1:25" x14ac:dyDescent="0.25">
      <c r="A40" t="s">
        <v>9</v>
      </c>
      <c r="C40" s="30" t="s">
        <v>89</v>
      </c>
      <c r="D40" s="30"/>
      <c r="E40" s="30"/>
      <c r="F40" s="30"/>
      <c r="G40" s="30"/>
      <c r="H40" s="30"/>
      <c r="T40" s="28">
        <v>402</v>
      </c>
      <c r="U40" s="42" t="s">
        <v>116</v>
      </c>
      <c r="V40" s="43"/>
      <c r="W40" s="44"/>
      <c r="X40" s="42">
        <v>152330000</v>
      </c>
      <c r="Y40" s="44"/>
    </row>
    <row r="41" spans="1:25" x14ac:dyDescent="0.25">
      <c r="A41" t="s">
        <v>14</v>
      </c>
      <c r="C41" s="33" t="s">
        <v>95</v>
      </c>
      <c r="D41" s="33"/>
      <c r="E41" s="33"/>
      <c r="F41" s="33"/>
      <c r="G41" s="33"/>
      <c r="H41" s="33"/>
      <c r="T41" s="25" t="s">
        <v>110</v>
      </c>
      <c r="U41" s="38" t="s">
        <v>117</v>
      </c>
      <c r="V41" s="39"/>
      <c r="W41" s="40"/>
      <c r="X41" s="41">
        <v>4607387000</v>
      </c>
      <c r="Y41" s="45"/>
    </row>
    <row r="42" spans="1:25" x14ac:dyDescent="0.25">
      <c r="T42" s="29" t="s">
        <v>110</v>
      </c>
      <c r="U42" s="42" t="s">
        <v>123</v>
      </c>
      <c r="V42" s="43"/>
      <c r="W42" s="44"/>
      <c r="X42" s="42">
        <v>4620530081</v>
      </c>
      <c r="Y42" s="44"/>
    </row>
    <row r="43" spans="1:25" x14ac:dyDescent="0.25">
      <c r="A43" t="s">
        <v>10</v>
      </c>
      <c r="B43" s="11"/>
      <c r="C43" s="33" t="s">
        <v>94</v>
      </c>
      <c r="D43" s="33"/>
      <c r="E43" s="33"/>
      <c r="F43" s="33"/>
      <c r="G43" s="33"/>
      <c r="H43" s="33"/>
    </row>
    <row r="44" spans="1:25" x14ac:dyDescent="0.25">
      <c r="A44" t="s">
        <v>11</v>
      </c>
      <c r="B44" s="32" t="s">
        <v>100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</row>
    <row r="46" spans="1:25" x14ac:dyDescent="0.25">
      <c r="A46" t="s">
        <v>12</v>
      </c>
      <c r="C46" s="33" t="s">
        <v>90</v>
      </c>
      <c r="D46" s="33"/>
      <c r="E46" s="33"/>
      <c r="F46" s="33"/>
      <c r="G46" s="33"/>
    </row>
    <row r="47" spans="1:25" x14ac:dyDescent="0.25">
      <c r="A47" t="s">
        <v>10</v>
      </c>
      <c r="B47" s="11"/>
      <c r="C47" s="33" t="s">
        <v>93</v>
      </c>
      <c r="D47" s="33"/>
      <c r="E47" s="33"/>
      <c r="F47" s="33"/>
      <c r="G47" s="33"/>
      <c r="H47" s="33"/>
    </row>
    <row r="48" spans="1:25" x14ac:dyDescent="0.25">
      <c r="A48" t="s">
        <v>11</v>
      </c>
      <c r="B48" s="32" t="s">
        <v>100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</row>
    <row r="50" spans="1:17" x14ac:dyDescent="0.25">
      <c r="A50" t="s">
        <v>13</v>
      </c>
      <c r="C50" s="33" t="s">
        <v>91</v>
      </c>
      <c r="D50" s="33"/>
      <c r="E50" s="33"/>
      <c r="F50" s="33"/>
      <c r="G50" s="33"/>
      <c r="H50" s="33"/>
    </row>
    <row r="51" spans="1:17" x14ac:dyDescent="0.25">
      <c r="A51" t="s">
        <v>10</v>
      </c>
      <c r="B51" s="11"/>
      <c r="C51" s="33" t="s">
        <v>92</v>
      </c>
      <c r="D51" s="33"/>
      <c r="E51" s="33"/>
      <c r="F51" s="33"/>
      <c r="G51" s="33"/>
      <c r="H51" s="33"/>
    </row>
    <row r="52" spans="1:17" x14ac:dyDescent="0.25">
      <c r="A52" t="s">
        <v>11</v>
      </c>
      <c r="B52" s="32" t="s">
        <v>100</v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</row>
    <row r="54" spans="1:17" ht="23.25" x14ac:dyDescent="0.35">
      <c r="A54" s="31" t="s">
        <v>17</v>
      </c>
      <c r="B54" s="31"/>
      <c r="C54" s="31"/>
      <c r="D54" s="31"/>
    </row>
    <row r="55" spans="1:17" x14ac:dyDescent="0.25">
      <c r="A55" s="4"/>
      <c r="B55" s="4"/>
      <c r="C55" s="4"/>
      <c r="D55" s="4"/>
    </row>
    <row r="56" spans="1:17" x14ac:dyDescent="0.25">
      <c r="A56" t="s">
        <v>8</v>
      </c>
      <c r="C56" s="30" t="s">
        <v>88</v>
      </c>
      <c r="D56" s="30"/>
      <c r="E56" s="30"/>
      <c r="F56" s="30"/>
      <c r="G56" s="30"/>
      <c r="H56" s="30"/>
    </row>
    <row r="57" spans="1:17" x14ac:dyDescent="0.25">
      <c r="A57" t="s">
        <v>9</v>
      </c>
      <c r="C57" s="30" t="s">
        <v>89</v>
      </c>
      <c r="D57" s="30"/>
      <c r="E57" s="30"/>
      <c r="F57" s="30"/>
      <c r="G57" s="30"/>
      <c r="H57" s="30"/>
    </row>
    <row r="58" spans="1:17" x14ac:dyDescent="0.25">
      <c r="A58" t="s">
        <v>14</v>
      </c>
      <c r="C58" s="33" t="s">
        <v>95</v>
      </c>
      <c r="D58" s="33"/>
      <c r="E58" s="33"/>
      <c r="F58" s="33"/>
      <c r="G58" s="33"/>
      <c r="H58" s="33"/>
    </row>
    <row r="60" spans="1:17" x14ac:dyDescent="0.25">
      <c r="A60" t="s">
        <v>10</v>
      </c>
      <c r="B60" s="11"/>
      <c r="C60" s="33" t="s">
        <v>94</v>
      </c>
      <c r="D60" s="33"/>
      <c r="E60" s="33"/>
      <c r="F60" s="33"/>
      <c r="G60" s="33"/>
      <c r="H60" s="33"/>
    </row>
    <row r="61" spans="1:17" x14ac:dyDescent="0.25">
      <c r="A61" t="s">
        <v>11</v>
      </c>
      <c r="B61" s="32" t="s">
        <v>100</v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</row>
    <row r="63" spans="1:17" x14ac:dyDescent="0.25">
      <c r="A63" t="s">
        <v>12</v>
      </c>
      <c r="C63" s="33" t="s">
        <v>90</v>
      </c>
      <c r="D63" s="33"/>
      <c r="E63" s="33"/>
      <c r="F63" s="33"/>
      <c r="G63" s="33"/>
    </row>
    <row r="64" spans="1:17" x14ac:dyDescent="0.25">
      <c r="A64" t="s">
        <v>10</v>
      </c>
      <c r="B64" s="11"/>
      <c r="C64" s="33" t="s">
        <v>93</v>
      </c>
      <c r="D64" s="33"/>
      <c r="E64" s="33"/>
      <c r="F64" s="33"/>
      <c r="G64" s="33"/>
      <c r="H64" s="33"/>
    </row>
    <row r="65" spans="1:25" x14ac:dyDescent="0.25">
      <c r="A65" t="s">
        <v>11</v>
      </c>
      <c r="B65" s="32" t="s">
        <v>100</v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</row>
    <row r="67" spans="1:25" x14ac:dyDescent="0.25">
      <c r="A67" t="s">
        <v>13</v>
      </c>
      <c r="C67" s="33" t="s">
        <v>91</v>
      </c>
      <c r="D67" s="33"/>
      <c r="E67" s="33"/>
      <c r="F67" s="33"/>
      <c r="G67" s="33"/>
      <c r="H67" s="33"/>
    </row>
    <row r="68" spans="1:25" x14ac:dyDescent="0.25">
      <c r="A68" t="s">
        <v>10</v>
      </c>
      <c r="B68" s="11"/>
      <c r="C68" s="33" t="s">
        <v>92</v>
      </c>
      <c r="D68" s="33"/>
      <c r="E68" s="33"/>
      <c r="F68" s="33"/>
      <c r="G68" s="33"/>
      <c r="H68" s="33"/>
    </row>
    <row r="69" spans="1:25" x14ac:dyDescent="0.25">
      <c r="A69" t="s">
        <v>11</v>
      </c>
      <c r="B69" s="32" t="s">
        <v>100</v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</row>
    <row r="71" spans="1:25" ht="23.25" x14ac:dyDescent="0.35">
      <c r="A71" s="31" t="s">
        <v>18</v>
      </c>
      <c r="B71" s="31"/>
      <c r="C71" s="31"/>
      <c r="D71" s="31"/>
    </row>
    <row r="72" spans="1:25" x14ac:dyDescent="0.25">
      <c r="A72" s="4"/>
      <c r="B72" s="4"/>
      <c r="C72" s="4"/>
      <c r="D72" s="4"/>
      <c r="T72" s="27" t="s">
        <v>107</v>
      </c>
      <c r="U72" s="35" t="s">
        <v>108</v>
      </c>
      <c r="V72" s="36"/>
      <c r="W72" s="37"/>
      <c r="X72" s="35" t="s">
        <v>109</v>
      </c>
      <c r="Y72" s="37"/>
    </row>
    <row r="73" spans="1:25" x14ac:dyDescent="0.25">
      <c r="A73" t="s">
        <v>8</v>
      </c>
      <c r="C73" s="30" t="s">
        <v>88</v>
      </c>
      <c r="D73" s="30"/>
      <c r="E73" s="30"/>
      <c r="F73" s="30"/>
      <c r="G73" s="30"/>
      <c r="H73" s="30"/>
      <c r="T73" s="25">
        <v>457</v>
      </c>
      <c r="U73" s="38" t="s">
        <v>124</v>
      </c>
      <c r="V73" s="39"/>
      <c r="W73" s="40"/>
      <c r="X73" s="38">
        <v>4619334000</v>
      </c>
      <c r="Y73" s="40"/>
    </row>
    <row r="74" spans="1:25" x14ac:dyDescent="0.25">
      <c r="A74" t="s">
        <v>9</v>
      </c>
      <c r="C74" s="30" t="s">
        <v>89</v>
      </c>
      <c r="D74" s="30"/>
      <c r="E74" s="30"/>
      <c r="F74" s="30"/>
      <c r="G74" s="30"/>
      <c r="H74" s="30"/>
      <c r="T74" s="28">
        <v>108</v>
      </c>
      <c r="U74" s="42" t="s">
        <v>125</v>
      </c>
      <c r="V74" s="43"/>
      <c r="W74" s="44"/>
      <c r="X74" s="42">
        <v>148731000</v>
      </c>
      <c r="Y74" s="44"/>
    </row>
    <row r="75" spans="1:25" x14ac:dyDescent="0.25">
      <c r="A75" t="s">
        <v>14</v>
      </c>
      <c r="C75" s="33" t="s">
        <v>95</v>
      </c>
      <c r="D75" s="33"/>
      <c r="E75" s="33"/>
      <c r="F75" s="33"/>
      <c r="G75" s="33"/>
      <c r="H75" s="33"/>
      <c r="T75" s="25">
        <v>109</v>
      </c>
      <c r="U75" s="38" t="s">
        <v>126</v>
      </c>
      <c r="V75" s="39"/>
      <c r="W75" s="40"/>
      <c r="X75" s="38">
        <v>148732000</v>
      </c>
      <c r="Y75" s="40"/>
    </row>
    <row r="76" spans="1:25" x14ac:dyDescent="0.25">
      <c r="T76" s="28">
        <v>112</v>
      </c>
      <c r="U76" s="42" t="s">
        <v>127</v>
      </c>
      <c r="V76" s="43"/>
      <c r="W76" s="44"/>
      <c r="X76" s="42">
        <v>148733000</v>
      </c>
      <c r="Y76" s="44"/>
    </row>
    <row r="77" spans="1:25" x14ac:dyDescent="0.25">
      <c r="A77" t="s">
        <v>10</v>
      </c>
      <c r="B77" s="11"/>
      <c r="C77" s="33" t="s">
        <v>94</v>
      </c>
      <c r="D77" s="33"/>
      <c r="E77" s="33"/>
      <c r="F77" s="33"/>
      <c r="G77" s="33"/>
      <c r="H77" s="33"/>
    </row>
    <row r="78" spans="1:25" x14ac:dyDescent="0.25">
      <c r="A78" t="s">
        <v>11</v>
      </c>
      <c r="B78" s="32" t="s">
        <v>100</v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</row>
    <row r="80" spans="1:25" x14ac:dyDescent="0.25">
      <c r="A80" t="s">
        <v>12</v>
      </c>
      <c r="C80" s="33" t="s">
        <v>90</v>
      </c>
      <c r="D80" s="33"/>
      <c r="E80" s="33"/>
      <c r="F80" s="33"/>
      <c r="G80" s="33"/>
    </row>
    <row r="81" spans="1:25" x14ac:dyDescent="0.25">
      <c r="A81" t="s">
        <v>10</v>
      </c>
      <c r="B81" s="11"/>
      <c r="C81" s="33" t="s">
        <v>93</v>
      </c>
      <c r="D81" s="33"/>
      <c r="E81" s="33"/>
      <c r="F81" s="33"/>
      <c r="G81" s="33"/>
      <c r="H81" s="33"/>
    </row>
    <row r="82" spans="1:25" x14ac:dyDescent="0.25">
      <c r="A82" t="s">
        <v>11</v>
      </c>
      <c r="B82" s="32" t="s">
        <v>100</v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</row>
    <row r="84" spans="1:25" x14ac:dyDescent="0.25">
      <c r="A84" t="s">
        <v>13</v>
      </c>
      <c r="C84" s="33" t="s">
        <v>91</v>
      </c>
      <c r="D84" s="33"/>
      <c r="E84" s="33"/>
      <c r="F84" s="33"/>
      <c r="G84" s="33"/>
      <c r="H84" s="33"/>
    </row>
    <row r="85" spans="1:25" x14ac:dyDescent="0.25">
      <c r="A85" t="s">
        <v>10</v>
      </c>
      <c r="B85" s="11"/>
      <c r="C85" s="33" t="s">
        <v>92</v>
      </c>
      <c r="D85" s="33"/>
      <c r="E85" s="33"/>
      <c r="F85" s="33"/>
      <c r="G85" s="33"/>
      <c r="H85" s="33"/>
    </row>
    <row r="86" spans="1:25" x14ac:dyDescent="0.25">
      <c r="A86" t="s">
        <v>11</v>
      </c>
      <c r="B86" s="32" t="s">
        <v>100</v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</row>
    <row r="88" spans="1:25" ht="23.25" x14ac:dyDescent="0.35">
      <c r="A88" s="31" t="s">
        <v>19</v>
      </c>
      <c r="B88" s="31"/>
      <c r="C88" s="31"/>
      <c r="D88" s="31"/>
    </row>
    <row r="89" spans="1:25" x14ac:dyDescent="0.25">
      <c r="A89" s="4"/>
      <c r="B89" s="4"/>
      <c r="C89" s="4"/>
      <c r="D89" s="4"/>
      <c r="T89" s="27" t="s">
        <v>107</v>
      </c>
      <c r="U89" s="35" t="s">
        <v>108</v>
      </c>
      <c r="V89" s="36"/>
      <c r="W89" s="37"/>
      <c r="X89" s="35" t="s">
        <v>109</v>
      </c>
      <c r="Y89" s="37"/>
    </row>
    <row r="90" spans="1:25" x14ac:dyDescent="0.25">
      <c r="A90" t="s">
        <v>8</v>
      </c>
      <c r="C90" s="30" t="s">
        <v>88</v>
      </c>
      <c r="D90" s="30"/>
      <c r="E90" s="30"/>
      <c r="F90" s="30"/>
      <c r="G90" s="30"/>
      <c r="H90" s="30"/>
      <c r="T90" s="25">
        <v>401</v>
      </c>
      <c r="U90" s="38" t="s">
        <v>115</v>
      </c>
      <c r="V90" s="39"/>
      <c r="W90" s="40"/>
      <c r="X90" s="38">
        <v>152340000</v>
      </c>
      <c r="Y90" s="40"/>
    </row>
    <row r="91" spans="1:25" x14ac:dyDescent="0.25">
      <c r="A91" t="s">
        <v>9</v>
      </c>
      <c r="C91" s="30" t="s">
        <v>89</v>
      </c>
      <c r="D91" s="30"/>
      <c r="E91" s="30"/>
      <c r="F91" s="30"/>
      <c r="G91" s="30"/>
      <c r="H91" s="30"/>
      <c r="T91" s="28">
        <v>402</v>
      </c>
      <c r="U91" s="42" t="s">
        <v>116</v>
      </c>
      <c r="V91" s="43"/>
      <c r="W91" s="44"/>
      <c r="X91" s="42">
        <v>152330000</v>
      </c>
      <c r="Y91" s="44"/>
    </row>
    <row r="92" spans="1:25" x14ac:dyDescent="0.25">
      <c r="T92" s="25" t="s">
        <v>110</v>
      </c>
      <c r="U92" s="38" t="s">
        <v>117</v>
      </c>
      <c r="V92" s="39"/>
      <c r="W92" s="40"/>
      <c r="X92" s="41">
        <v>4607387000</v>
      </c>
      <c r="Y92" s="45"/>
    </row>
    <row r="93" spans="1:25" x14ac:dyDescent="0.25">
      <c r="A93" t="s">
        <v>10</v>
      </c>
      <c r="B93" s="11"/>
      <c r="C93" s="33" t="s">
        <v>94</v>
      </c>
      <c r="D93" s="33"/>
      <c r="E93" s="33"/>
      <c r="F93" s="33"/>
      <c r="G93" s="33"/>
      <c r="H93" s="33"/>
      <c r="T93" s="28">
        <v>465</v>
      </c>
      <c r="U93" s="42" t="s">
        <v>118</v>
      </c>
      <c r="V93" s="43"/>
      <c r="W93" s="44"/>
      <c r="X93" s="42">
        <v>152880000</v>
      </c>
      <c r="Y93" s="44"/>
    </row>
    <row r="94" spans="1:25" x14ac:dyDescent="0.25">
      <c r="A94" t="s">
        <v>11</v>
      </c>
      <c r="B94" s="32" t="s">
        <v>100</v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T94" s="25">
        <v>468</v>
      </c>
      <c r="U94" s="38" t="s">
        <v>119</v>
      </c>
      <c r="V94" s="39"/>
      <c r="W94" s="40"/>
      <c r="X94" s="38">
        <v>189380000</v>
      </c>
      <c r="Y94" s="40"/>
    </row>
    <row r="95" spans="1:25" x14ac:dyDescent="0.25">
      <c r="T95" s="29" t="s">
        <v>120</v>
      </c>
      <c r="U95" s="42" t="s">
        <v>121</v>
      </c>
      <c r="V95" s="43"/>
      <c r="W95" s="44"/>
      <c r="X95" s="42">
        <v>100005000</v>
      </c>
      <c r="Y95" s="44"/>
    </row>
    <row r="96" spans="1:25" x14ac:dyDescent="0.25">
      <c r="A96" t="s">
        <v>12</v>
      </c>
      <c r="C96" s="33" t="s">
        <v>90</v>
      </c>
      <c r="D96" s="33"/>
      <c r="E96" s="33"/>
      <c r="F96" s="33"/>
      <c r="G96" s="33"/>
      <c r="T96" s="26" t="s">
        <v>110</v>
      </c>
      <c r="U96" s="38" t="s">
        <v>122</v>
      </c>
      <c r="V96" s="39"/>
      <c r="W96" s="40"/>
      <c r="X96" s="38">
        <v>4606200000</v>
      </c>
      <c r="Y96" s="40"/>
    </row>
    <row r="97" spans="1:25" x14ac:dyDescent="0.25">
      <c r="A97" t="s">
        <v>10</v>
      </c>
      <c r="B97" s="11"/>
      <c r="C97" s="33" t="s">
        <v>93</v>
      </c>
      <c r="D97" s="33"/>
      <c r="E97" s="33"/>
      <c r="F97" s="33"/>
      <c r="G97" s="33"/>
      <c r="H97" s="33"/>
      <c r="T97" s="29" t="s">
        <v>110</v>
      </c>
      <c r="U97" s="42" t="s">
        <v>123</v>
      </c>
      <c r="V97" s="43"/>
      <c r="W97" s="44"/>
      <c r="X97" s="42">
        <v>4620530081</v>
      </c>
      <c r="Y97" s="44"/>
    </row>
    <row r="98" spans="1:25" x14ac:dyDescent="0.25">
      <c r="A98" t="s">
        <v>11</v>
      </c>
      <c r="B98" s="32" t="s">
        <v>100</v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</row>
    <row r="100" spans="1:25" x14ac:dyDescent="0.25">
      <c r="A100" t="s">
        <v>13</v>
      </c>
      <c r="C100" s="33" t="s">
        <v>91</v>
      </c>
      <c r="D100" s="33"/>
      <c r="E100" s="33"/>
      <c r="F100" s="33"/>
      <c r="G100" s="33"/>
      <c r="H100" s="33"/>
    </row>
    <row r="101" spans="1:25" x14ac:dyDescent="0.25">
      <c r="A101" t="s">
        <v>10</v>
      </c>
      <c r="B101" s="11"/>
      <c r="C101" s="33" t="s">
        <v>92</v>
      </c>
      <c r="D101" s="33"/>
      <c r="E101" s="33"/>
      <c r="F101" s="33"/>
      <c r="G101" s="33"/>
      <c r="H101" s="33"/>
    </row>
    <row r="102" spans="1:25" x14ac:dyDescent="0.25">
      <c r="A102" t="s">
        <v>11</v>
      </c>
      <c r="B102" s="32" t="s">
        <v>100</v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</row>
    <row r="105" spans="1:25" x14ac:dyDescent="0.25">
      <c r="D105" s="30" t="s">
        <v>97</v>
      </c>
      <c r="E105" s="30"/>
      <c r="F105" s="30"/>
      <c r="G105" s="30"/>
      <c r="H105" s="30"/>
      <c r="I105" s="30"/>
      <c r="J105" s="30"/>
      <c r="K105" s="30"/>
      <c r="L105" s="30"/>
      <c r="M105" s="30"/>
    </row>
    <row r="106" spans="1:25" x14ac:dyDescent="0.25">
      <c r="D106" s="34" t="s">
        <v>99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</row>
    <row r="107" spans="1:25" x14ac:dyDescent="0.25">
      <c r="D107" s="30" t="s">
        <v>98</v>
      </c>
      <c r="E107" s="30"/>
      <c r="F107" s="30"/>
      <c r="G107" s="30"/>
      <c r="H107" s="30"/>
      <c r="I107" s="30"/>
      <c r="J107" s="30"/>
    </row>
  </sheetData>
  <mergeCells count="132">
    <mergeCell ref="U96:W96"/>
    <mergeCell ref="X96:Y96"/>
    <mergeCell ref="U97:W97"/>
    <mergeCell ref="X97:Y97"/>
    <mergeCell ref="U26:W26"/>
    <mergeCell ref="X26:Y26"/>
    <mergeCell ref="U93:W93"/>
    <mergeCell ref="X93:Y93"/>
    <mergeCell ref="U94:W94"/>
    <mergeCell ref="X94:Y94"/>
    <mergeCell ref="U95:W95"/>
    <mergeCell ref="X95:Y95"/>
    <mergeCell ref="U76:W76"/>
    <mergeCell ref="X76:Y76"/>
    <mergeCell ref="U72:W72"/>
    <mergeCell ref="X72:Y72"/>
    <mergeCell ref="U89:W89"/>
    <mergeCell ref="X89:Y89"/>
    <mergeCell ref="U73:W73"/>
    <mergeCell ref="X73:Y73"/>
    <mergeCell ref="U74:W74"/>
    <mergeCell ref="X74:Y74"/>
    <mergeCell ref="U75:W75"/>
    <mergeCell ref="X75:Y75"/>
    <mergeCell ref="U42:W42"/>
    <mergeCell ref="X42:Y42"/>
    <mergeCell ref="U38:W38"/>
    <mergeCell ref="X38:Y38"/>
    <mergeCell ref="U90:W90"/>
    <mergeCell ref="X90:Y90"/>
    <mergeCell ref="U91:W91"/>
    <mergeCell ref="X91:Y91"/>
    <mergeCell ref="U92:W92"/>
    <mergeCell ref="X92:Y92"/>
    <mergeCell ref="U39:W39"/>
    <mergeCell ref="X39:Y39"/>
    <mergeCell ref="U40:W40"/>
    <mergeCell ref="X40:Y40"/>
    <mergeCell ref="U41:W41"/>
    <mergeCell ref="X41:Y41"/>
    <mergeCell ref="U10:W10"/>
    <mergeCell ref="X10:Y10"/>
    <mergeCell ref="U25:W25"/>
    <mergeCell ref="X25:Y25"/>
    <mergeCell ref="U23:W23"/>
    <mergeCell ref="X23:Y23"/>
    <mergeCell ref="U11:W11"/>
    <mergeCell ref="X11:Y11"/>
    <mergeCell ref="U12:W12"/>
    <mergeCell ref="X12:Y12"/>
    <mergeCell ref="U13:W13"/>
    <mergeCell ref="X13:Y13"/>
    <mergeCell ref="U14:W14"/>
    <mergeCell ref="X14:Y14"/>
    <mergeCell ref="U8:W8"/>
    <mergeCell ref="X8:Y8"/>
    <mergeCell ref="U24:W24"/>
    <mergeCell ref="X24:Y24"/>
    <mergeCell ref="U9:W9"/>
    <mergeCell ref="X9:Y9"/>
    <mergeCell ref="C75:H75"/>
    <mergeCell ref="B69:Q69"/>
    <mergeCell ref="A71:D71"/>
    <mergeCell ref="C68:H68"/>
    <mergeCell ref="B35:Q35"/>
    <mergeCell ref="B44:Q44"/>
    <mergeCell ref="B48:Q48"/>
    <mergeCell ref="A54:D54"/>
    <mergeCell ref="B52:Q52"/>
    <mergeCell ref="B61:Q61"/>
    <mergeCell ref="B65:Q65"/>
    <mergeCell ref="C51:H51"/>
    <mergeCell ref="C60:H60"/>
    <mergeCell ref="C46:G46"/>
    <mergeCell ref="C58:H58"/>
    <mergeCell ref="C63:G63"/>
    <mergeCell ref="C73:H73"/>
    <mergeCell ref="C74:H74"/>
    <mergeCell ref="D105:M105"/>
    <mergeCell ref="D107:J107"/>
    <mergeCell ref="D106:O106"/>
    <mergeCell ref="C81:H81"/>
    <mergeCell ref="C85:H85"/>
    <mergeCell ref="C77:H77"/>
    <mergeCell ref="C80:G80"/>
    <mergeCell ref="C84:H84"/>
    <mergeCell ref="B102:Q102"/>
    <mergeCell ref="B78:Q78"/>
    <mergeCell ref="B82:Q82"/>
    <mergeCell ref="B86:Q86"/>
    <mergeCell ref="B94:Q94"/>
    <mergeCell ref="A88:D88"/>
    <mergeCell ref="C93:H93"/>
    <mergeCell ref="C97:H97"/>
    <mergeCell ref="C101:H101"/>
    <mergeCell ref="C90:H90"/>
    <mergeCell ref="C91:H91"/>
    <mergeCell ref="C96:G96"/>
    <mergeCell ref="C100:H100"/>
    <mergeCell ref="B98:Q98"/>
    <mergeCell ref="C30:H30"/>
    <mergeCell ref="A37:D37"/>
    <mergeCell ref="C29:G29"/>
    <mergeCell ref="C64:H64"/>
    <mergeCell ref="C67:H67"/>
    <mergeCell ref="B31:Q31"/>
    <mergeCell ref="C43:H43"/>
    <mergeCell ref="C33:H33"/>
    <mergeCell ref="C34:H34"/>
    <mergeCell ref="C39:H39"/>
    <mergeCell ref="C40:H40"/>
    <mergeCell ref="C41:H41"/>
    <mergeCell ref="C47:H47"/>
    <mergeCell ref="C50:H50"/>
    <mergeCell ref="C56:H56"/>
    <mergeCell ref="C57:H57"/>
    <mergeCell ref="C7:H7"/>
    <mergeCell ref="C8:H8"/>
    <mergeCell ref="A5:D5"/>
    <mergeCell ref="B19:Q19"/>
    <mergeCell ref="B27:Q27"/>
    <mergeCell ref="A21:D21"/>
    <mergeCell ref="C10:H10"/>
    <mergeCell ref="C13:G13"/>
    <mergeCell ref="C17:H17"/>
    <mergeCell ref="C23:H23"/>
    <mergeCell ref="C24:H24"/>
    <mergeCell ref="B11:Q11"/>
    <mergeCell ref="B15:Q15"/>
    <mergeCell ref="C14:H14"/>
    <mergeCell ref="C18:H18"/>
    <mergeCell ref="C26:H26"/>
  </mergeCells>
  <dataValidations xWindow="261" yWindow="351" count="10">
    <dataValidation type="list" allowBlank="1" showInputMessage="1" showErrorMessage="1" sqref="B10 B14 B18" xr:uid="{00000000-0002-0000-0000-000000000000}">
      <formula1>L1P</formula1>
    </dataValidation>
    <dataValidation type="list" allowBlank="1" showInputMessage="1" showErrorMessage="1" sqref="B30 B26 B34" xr:uid="{00000000-0002-0000-0000-000001000000}">
      <formula1>L2P</formula1>
    </dataValidation>
    <dataValidation type="list" allowBlank="1" showInputMessage="1" showErrorMessage="1" sqref="B47 B43 B51" xr:uid="{00000000-0002-0000-0000-000002000000}">
      <formula1>L3P</formula1>
    </dataValidation>
    <dataValidation type="list" allowBlank="1" showInputMessage="1" showErrorMessage="1" sqref="B64 B60 B68" xr:uid="{00000000-0002-0000-0000-000003000000}">
      <formula1>L5P</formula1>
    </dataValidation>
    <dataValidation type="list" allowBlank="1" showInputMessage="1" showErrorMessage="1" sqref="B85 B81 B77" xr:uid="{00000000-0002-0000-0000-000004000000}">
      <formula1>L6P</formula1>
    </dataValidation>
    <dataValidation type="list" allowBlank="1" showInputMessage="1" showErrorMessage="1" sqref="B101" xr:uid="{00000000-0002-0000-0000-000005000000}">
      <formula1>L7Prod</formula1>
    </dataValidation>
    <dataValidation type="list" allowBlank="1" showInputMessage="1" showErrorMessage="1" sqref="B93 B97" xr:uid="{00000000-0002-0000-0000-000006000000}">
      <formula1>L7P</formula1>
    </dataValidation>
    <dataValidation allowBlank="1" showInputMessage="1" showErrorMessage="1" prompt="Enter production date, click button to insert today's date" sqref="B1" xr:uid="{00000000-0002-0000-0000-000007000000}"/>
    <dataValidation allowBlank="1" showInputMessage="1" showErrorMessage="1" prompt="Enter MQIS initials " sqref="B3" xr:uid="{00000000-0002-0000-0000-000008000000}"/>
    <dataValidation type="list" allowBlank="1" showInputMessage="1" showErrorMessage="1" sqref="B2" xr:uid="{00000000-0002-0000-0000-000009000000}">
      <formula1>$U$1:$U$3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66" r:id="rId4" name="CommandButton1">
          <controlPr defaultSize="0" autoLine="0" r:id="rId5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8</xdr:col>
                <xdr:colOff>514350</xdr:colOff>
                <xdr:row>4</xdr:row>
                <xdr:rowOff>0</xdr:rowOff>
              </to>
            </anchor>
          </controlPr>
        </control>
      </mc:Choice>
      <mc:Fallback>
        <control shapeId="18466" r:id="rId4" name="CommandButton1"/>
      </mc:Fallback>
    </mc:AlternateContent>
    <mc:AlternateContent xmlns:mc="http://schemas.openxmlformats.org/markup-compatibility/2006">
      <mc:Choice Requires="x14">
        <control shapeId="18483" r:id="rId6" name="CommandButton7">
          <controlPr defaultSize="0" autoLine="0" r:id="rId7">
            <anchor moveWithCells="1">
              <from>
                <xdr:col>1</xdr:col>
                <xdr:colOff>57150</xdr:colOff>
                <xdr:row>104</xdr:row>
                <xdr:rowOff>28575</xdr:rowOff>
              </from>
              <to>
                <xdr:col>2</xdr:col>
                <xdr:colOff>571500</xdr:colOff>
                <xdr:row>107</xdr:row>
                <xdr:rowOff>123825</xdr:rowOff>
              </to>
            </anchor>
          </controlPr>
        </control>
      </mc:Choice>
      <mc:Fallback>
        <control shapeId="18483" r:id="rId6" name="CommandButton7"/>
      </mc:Fallback>
    </mc:AlternateContent>
    <mc:AlternateContent xmlns:mc="http://schemas.openxmlformats.org/markup-compatibility/2006">
      <mc:Choice Requires="x14">
        <control shapeId="18435" r:id="rId8" name="Check Box 3">
          <controlPr defaultSize="0" autoFill="0" autoLine="0" autoPict="0">
            <anchor moveWithCells="1">
              <from>
                <xdr:col>1</xdr:col>
                <xdr:colOff>47625</xdr:colOff>
                <xdr:row>5</xdr:row>
                <xdr:rowOff>180975</xdr:rowOff>
              </from>
              <to>
                <xdr:col>1</xdr:col>
                <xdr:colOff>847725</xdr:colOff>
                <xdr:row>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9" name="Check Box 4">
          <controlPr defaultSize="0" autoFill="0" autoLine="0" autoPict="0">
            <anchor moveWithCells="1">
              <from>
                <xdr:col>1</xdr:col>
                <xdr:colOff>47625</xdr:colOff>
                <xdr:row>6</xdr:row>
                <xdr:rowOff>180975</xdr:rowOff>
              </from>
              <to>
                <xdr:col>1</xdr:col>
                <xdr:colOff>847725</xdr:colOff>
                <xdr:row>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10" name="Check Box 5">
          <controlPr defaultSize="0" autoFill="0" autoLine="0" autoPict="0">
            <anchor moveWithCells="1">
              <from>
                <xdr:col>1</xdr:col>
                <xdr:colOff>47625</xdr:colOff>
                <xdr:row>12</xdr:row>
                <xdr:rowOff>0</xdr:rowOff>
              </from>
              <to>
                <xdr:col>1</xdr:col>
                <xdr:colOff>847725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11" name="Check Box 6">
          <controlPr defaultSize="0" autoFill="0" autoLine="0" autoPict="0">
            <anchor moveWithCells="1">
              <from>
                <xdr:col>1</xdr:col>
                <xdr:colOff>47625</xdr:colOff>
                <xdr:row>15</xdr:row>
                <xdr:rowOff>180975</xdr:rowOff>
              </from>
              <to>
                <xdr:col>1</xdr:col>
                <xdr:colOff>847725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12" name="Check Box 9">
          <controlPr defaultSize="0" autoFill="0" autoLine="0" autoPict="0">
            <anchor moveWithCells="1">
              <from>
                <xdr:col>1</xdr:col>
                <xdr:colOff>47625</xdr:colOff>
                <xdr:row>21</xdr:row>
                <xdr:rowOff>180975</xdr:rowOff>
              </from>
              <to>
                <xdr:col>1</xdr:col>
                <xdr:colOff>847725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13" name="Check Box 10">
          <controlPr defaultSize="0" autoFill="0" autoLine="0" autoPict="0">
            <anchor moveWithCells="1">
              <from>
                <xdr:col>1</xdr:col>
                <xdr:colOff>47625</xdr:colOff>
                <xdr:row>22</xdr:row>
                <xdr:rowOff>180975</xdr:rowOff>
              </from>
              <to>
                <xdr:col>1</xdr:col>
                <xdr:colOff>847725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14" name="Check Box 11">
          <controlPr defaultSize="0" autoFill="0" autoLine="0" autoPict="0">
            <anchor moveWithCells="1">
              <from>
                <xdr:col>1</xdr:col>
                <xdr:colOff>47625</xdr:colOff>
                <xdr:row>28</xdr:row>
                <xdr:rowOff>0</xdr:rowOff>
              </from>
              <to>
                <xdr:col>1</xdr:col>
                <xdr:colOff>847725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15" name="Check Box 12">
          <controlPr defaultSize="0" autoFill="0" autoLine="0" autoPict="0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1</xdr:col>
                <xdr:colOff>847725</xdr:colOff>
                <xdr:row>33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16" name="Check Box 14">
          <controlPr defaultSize="0" autoFill="0" autoLine="0" autoPict="0">
            <anchor moveWithCells="1">
              <from>
                <xdr:col>1</xdr:col>
                <xdr:colOff>47625</xdr:colOff>
                <xdr:row>37</xdr:row>
                <xdr:rowOff>180975</xdr:rowOff>
              </from>
              <to>
                <xdr:col>1</xdr:col>
                <xdr:colOff>847725</xdr:colOff>
                <xdr:row>39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17" name="Check Box 15">
          <controlPr defaultSize="0" autoFill="0" autoLine="0" autoPict="0">
            <anchor moveWithCells="1">
              <from>
                <xdr:col>1</xdr:col>
                <xdr:colOff>47625</xdr:colOff>
                <xdr:row>38</xdr:row>
                <xdr:rowOff>180975</xdr:rowOff>
              </from>
              <to>
                <xdr:col>1</xdr:col>
                <xdr:colOff>847725</xdr:colOff>
                <xdr:row>40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18" name="Check Box 16">
          <controlPr defaultSize="0" autoFill="0" autoLine="0" autoPict="0">
            <anchor moveWithCells="1">
              <from>
                <xdr:col>1</xdr:col>
                <xdr:colOff>47625</xdr:colOff>
                <xdr:row>45</xdr:row>
                <xdr:rowOff>0</xdr:rowOff>
              </from>
              <to>
                <xdr:col>1</xdr:col>
                <xdr:colOff>847725</xdr:colOff>
                <xdr:row>46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19" name="Check Box 17">
          <controlPr defaultSize="0" autoFill="0" autoLine="0" autoPict="0">
            <anchor moveWithCells="1">
              <from>
                <xdr:col>1</xdr:col>
                <xdr:colOff>47625</xdr:colOff>
                <xdr:row>48</xdr:row>
                <xdr:rowOff>180975</xdr:rowOff>
              </from>
              <to>
                <xdr:col>1</xdr:col>
                <xdr:colOff>847725</xdr:colOff>
                <xdr:row>50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20" name="Check Box 18">
          <controlPr defaultSize="0" autoFill="0" autoLine="0" autoPict="0">
            <anchor moveWithCells="1">
              <from>
                <xdr:col>1</xdr:col>
                <xdr:colOff>47625</xdr:colOff>
                <xdr:row>39</xdr:row>
                <xdr:rowOff>180975</xdr:rowOff>
              </from>
              <to>
                <xdr:col>1</xdr:col>
                <xdr:colOff>847725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21" name="Check Box 19">
          <controlPr defaultSize="0" autoFill="0" autoLine="0" autoPict="0">
            <anchor moveWithCells="1">
              <from>
                <xdr:col>1</xdr:col>
                <xdr:colOff>47625</xdr:colOff>
                <xdr:row>54</xdr:row>
                <xdr:rowOff>180975</xdr:rowOff>
              </from>
              <to>
                <xdr:col>1</xdr:col>
                <xdr:colOff>847725</xdr:colOff>
                <xdr:row>56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22" name="Check Box 20">
          <controlPr defaultSize="0" autoFill="0" autoLine="0" autoPict="0">
            <anchor moveWithCells="1">
              <from>
                <xdr:col>1</xdr:col>
                <xdr:colOff>47625</xdr:colOff>
                <xdr:row>55</xdr:row>
                <xdr:rowOff>180975</xdr:rowOff>
              </from>
              <to>
                <xdr:col>1</xdr:col>
                <xdr:colOff>847725</xdr:colOff>
                <xdr:row>57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23" name="Check Box 21">
          <controlPr defaultSize="0" autoFill="0" autoLine="0" autoPict="0">
            <anchor moveWithCells="1">
              <from>
                <xdr:col>1</xdr:col>
                <xdr:colOff>47625</xdr:colOff>
                <xdr:row>62</xdr:row>
                <xdr:rowOff>0</xdr:rowOff>
              </from>
              <to>
                <xdr:col>1</xdr:col>
                <xdr:colOff>847725</xdr:colOff>
                <xdr:row>63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24" name="Check Box 22">
          <controlPr defaultSize="0" autoFill="0" autoLine="0" autoPict="0">
            <anchor moveWithCells="1">
              <from>
                <xdr:col>1</xdr:col>
                <xdr:colOff>47625</xdr:colOff>
                <xdr:row>65</xdr:row>
                <xdr:rowOff>180975</xdr:rowOff>
              </from>
              <to>
                <xdr:col>1</xdr:col>
                <xdr:colOff>847725</xdr:colOff>
                <xdr:row>67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25" name="Check Box 23">
          <controlPr defaultSize="0" autoFill="0" autoLine="0" autoPict="0">
            <anchor moveWithCells="1">
              <from>
                <xdr:col>1</xdr:col>
                <xdr:colOff>47625</xdr:colOff>
                <xdr:row>56</xdr:row>
                <xdr:rowOff>180975</xdr:rowOff>
              </from>
              <to>
                <xdr:col>1</xdr:col>
                <xdr:colOff>847725</xdr:colOff>
                <xdr:row>58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26" name="Check Box 24">
          <controlPr defaultSize="0" autoFill="0" autoLine="0" autoPict="0">
            <anchor moveWithCells="1">
              <from>
                <xdr:col>1</xdr:col>
                <xdr:colOff>47625</xdr:colOff>
                <xdr:row>71</xdr:row>
                <xdr:rowOff>180975</xdr:rowOff>
              </from>
              <to>
                <xdr:col>1</xdr:col>
                <xdr:colOff>847725</xdr:colOff>
                <xdr:row>73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27" name="Check Box 25">
          <controlPr defaultSize="0" autoFill="0" autoLine="0" autoPict="0">
            <anchor moveWithCells="1">
              <from>
                <xdr:col>1</xdr:col>
                <xdr:colOff>47625</xdr:colOff>
                <xdr:row>72</xdr:row>
                <xdr:rowOff>180975</xdr:rowOff>
              </from>
              <to>
                <xdr:col>1</xdr:col>
                <xdr:colOff>847725</xdr:colOff>
                <xdr:row>74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28" name="Check Box 26">
          <controlPr defaultSize="0" autoFill="0" autoLine="0" autoPict="0">
            <anchor moveWithCells="1">
              <from>
                <xdr:col>1</xdr:col>
                <xdr:colOff>47625</xdr:colOff>
                <xdr:row>79</xdr:row>
                <xdr:rowOff>0</xdr:rowOff>
              </from>
              <to>
                <xdr:col>1</xdr:col>
                <xdr:colOff>847725</xdr:colOff>
                <xdr:row>80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9" r:id="rId29" name="Check Box 27">
          <controlPr defaultSize="0" autoFill="0" autoLine="0" autoPict="0">
            <anchor moveWithCells="1">
              <from>
                <xdr:col>1</xdr:col>
                <xdr:colOff>47625</xdr:colOff>
                <xdr:row>82</xdr:row>
                <xdr:rowOff>180975</xdr:rowOff>
              </from>
              <to>
                <xdr:col>1</xdr:col>
                <xdr:colOff>847725</xdr:colOff>
                <xdr:row>84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0" r:id="rId30" name="Check Box 28">
          <controlPr defaultSize="0" autoFill="0" autoLine="0" autoPict="0">
            <anchor moveWithCells="1">
              <from>
                <xdr:col>1</xdr:col>
                <xdr:colOff>47625</xdr:colOff>
                <xdr:row>73</xdr:row>
                <xdr:rowOff>180975</xdr:rowOff>
              </from>
              <to>
                <xdr:col>1</xdr:col>
                <xdr:colOff>847725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31" name="Check Box 29">
          <controlPr defaultSize="0" autoFill="0" autoLine="0" autoPict="0">
            <anchor moveWithCells="1">
              <from>
                <xdr:col>1</xdr:col>
                <xdr:colOff>47625</xdr:colOff>
                <xdr:row>88</xdr:row>
                <xdr:rowOff>180975</xdr:rowOff>
              </from>
              <to>
                <xdr:col>1</xdr:col>
                <xdr:colOff>847725</xdr:colOff>
                <xdr:row>90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32" name="Check Box 30">
          <controlPr defaultSize="0" autoFill="0" autoLine="0" autoPict="0">
            <anchor moveWithCells="1">
              <from>
                <xdr:col>1</xdr:col>
                <xdr:colOff>47625</xdr:colOff>
                <xdr:row>89</xdr:row>
                <xdr:rowOff>180975</xdr:rowOff>
              </from>
              <to>
                <xdr:col>1</xdr:col>
                <xdr:colOff>847725</xdr:colOff>
                <xdr:row>91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33" name="Check Box 31">
          <controlPr defaultSize="0" autoFill="0" autoLine="0" autoPict="0">
            <anchor moveWithCells="1">
              <from>
                <xdr:col>1</xdr:col>
                <xdr:colOff>47625</xdr:colOff>
                <xdr:row>95</xdr:row>
                <xdr:rowOff>0</xdr:rowOff>
              </from>
              <to>
                <xdr:col>1</xdr:col>
                <xdr:colOff>847725</xdr:colOff>
                <xdr:row>96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34" name="Check Box 32">
          <controlPr defaultSize="0" autoFill="0" autoLine="0" autoPict="0">
            <anchor moveWithCells="1">
              <from>
                <xdr:col>1</xdr:col>
                <xdr:colOff>47625</xdr:colOff>
                <xdr:row>98</xdr:row>
                <xdr:rowOff>180975</xdr:rowOff>
              </from>
              <to>
                <xdr:col>1</xdr:col>
                <xdr:colOff>847725</xdr:colOff>
                <xdr:row>100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68"/>
  <sheetViews>
    <sheetView topLeftCell="A55" zoomScale="115" zoomScaleNormal="115" workbookViewId="0">
      <selection activeCell="C77" sqref="C77"/>
    </sheetView>
  </sheetViews>
  <sheetFormatPr defaultRowHeight="15" x14ac:dyDescent="0.25"/>
  <cols>
    <col min="1" max="1" width="23.7109375" bestFit="1" customWidth="1"/>
    <col min="2" max="2" width="14.85546875" customWidth="1"/>
  </cols>
  <sheetData>
    <row r="1" spans="1:15" x14ac:dyDescent="0.25">
      <c r="A1" t="s">
        <v>20</v>
      </c>
      <c r="B1" s="3" t="str">
        <f>"""" &amp; Daily!L1 &amp; """"</f>
        <v>"10/23/2021"</v>
      </c>
    </row>
    <row r="2" spans="1:15" x14ac:dyDescent="0.25">
      <c r="A2" t="s">
        <v>21</v>
      </c>
      <c r="B2" s="3" t="str">
        <f>"""" &amp; Daily!L3 &amp; """"</f>
        <v>"10/24/21"</v>
      </c>
    </row>
    <row r="3" spans="1:15" x14ac:dyDescent="0.25">
      <c r="A3" t="s">
        <v>26</v>
      </c>
      <c r="B3" t="str">
        <f>"""" &amp;Daily!L5 &amp; """"</f>
        <v>"10/22/2021"</v>
      </c>
    </row>
    <row r="4" spans="1:15" x14ac:dyDescent="0.25">
      <c r="A4" t="s">
        <v>87</v>
      </c>
    </row>
    <row r="5" spans="1:15" s="12" customFormat="1" x14ac:dyDescent="0.25">
      <c r="A5" s="12" t="s">
        <v>86</v>
      </c>
      <c r="B5" s="12" t="str">
        <f>"""" &amp; Daily!B3 &amp; """"</f>
        <v>""</v>
      </c>
    </row>
    <row r="6" spans="1:15" x14ac:dyDescent="0.25">
      <c r="A6" t="s">
        <v>30</v>
      </c>
      <c r="B6" t="b">
        <v>0</v>
      </c>
    </row>
    <row r="7" spans="1:15" x14ac:dyDescent="0.25">
      <c r="A7" t="s">
        <v>29</v>
      </c>
      <c r="B7" t="b">
        <v>1</v>
      </c>
    </row>
    <row r="8" spans="1:15" x14ac:dyDescent="0.25">
      <c r="A8" t="s">
        <v>22</v>
      </c>
      <c r="B8" t="str">
        <f>"""" &amp; Daily!B10 &amp; """"</f>
        <v>""</v>
      </c>
    </row>
    <row r="9" spans="1:15" x14ac:dyDescent="0.25">
      <c r="A9" t="s">
        <v>23</v>
      </c>
      <c r="B9" s="4" t="str">
        <f>"[" &amp; Daily!B11  &amp; "]"</f>
        <v>[2300, 2330, 0000, 0030, 0100, 0130, 0200, 0230, 0300, 0330, 0400, 0430, 0500, 0530, 0600, 0630]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</row>
    <row r="10" spans="1:15" x14ac:dyDescent="0.25">
      <c r="A10" t="s">
        <v>27</v>
      </c>
      <c r="B10" t="b">
        <v>0</v>
      </c>
    </row>
    <row r="11" spans="1:15" x14ac:dyDescent="0.25">
      <c r="A11" t="s">
        <v>31</v>
      </c>
      <c r="B11" t="str">
        <f>"""" &amp; Daily!B14 &amp; """"</f>
        <v>""</v>
      </c>
    </row>
    <row r="12" spans="1:15" x14ac:dyDescent="0.25">
      <c r="A12" t="s">
        <v>28</v>
      </c>
      <c r="B12" s="4" t="str">
        <f>"[" &amp; Daily!B15  &amp; "]"</f>
        <v>[2300, 2330, 0000, 0030, 0100, 0130, 0200, 0230, 0300, 0330, 0400, 0430, 0500, 0530, 0600, 0630]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</row>
    <row r="13" spans="1:15" x14ac:dyDescent="0.25">
      <c r="A13" t="s">
        <v>32</v>
      </c>
      <c r="B13" t="b">
        <v>0</v>
      </c>
    </row>
    <row r="14" spans="1:15" x14ac:dyDescent="0.25">
      <c r="A14" t="s">
        <v>33</v>
      </c>
      <c r="B14" t="str">
        <f>"""" &amp; Daily!$B$18 &amp; """"</f>
        <v>""</v>
      </c>
    </row>
    <row r="15" spans="1:15" x14ac:dyDescent="0.25">
      <c r="A15" t="s">
        <v>34</v>
      </c>
      <c r="B15" s="4" t="str">
        <f>"[" &amp; Daily!$B$19  &amp; "]"</f>
        <v>[2300, 2330, 0000, 0030, 0100, 0130, 0200, 0230, 0300, 0330, 0400, 0430, 0500, 0530, 0600, 0630]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x14ac:dyDescent="0.25">
      <c r="A16" t="s">
        <v>35</v>
      </c>
      <c r="B16" t="b">
        <v>0</v>
      </c>
    </row>
    <row r="17" spans="1:15" x14ac:dyDescent="0.25">
      <c r="A17" t="s">
        <v>36</v>
      </c>
      <c r="B17" t="b">
        <v>1</v>
      </c>
    </row>
    <row r="18" spans="1:15" x14ac:dyDescent="0.25">
      <c r="A18" t="s">
        <v>24</v>
      </c>
      <c r="B18" t="str">
        <f>"""" &amp; Daily!B26 &amp; """"</f>
        <v>""</v>
      </c>
    </row>
    <row r="19" spans="1:15" x14ac:dyDescent="0.25">
      <c r="A19" t="s">
        <v>25</v>
      </c>
      <c r="B19" s="4" t="str">
        <f>"[" &amp; Daily!B27  &amp; "]"</f>
        <v>[2300, 2330, 0000, 0030, 0100, 0130, 0200, 0230, 0300, 0330, 0400, 0430, 0500, 0530, 0600, 0630]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spans="1:15" x14ac:dyDescent="0.25">
      <c r="A20" t="s">
        <v>37</v>
      </c>
      <c r="B20" t="b">
        <v>0</v>
      </c>
    </row>
    <row r="21" spans="1:15" x14ac:dyDescent="0.25">
      <c r="A21" t="s">
        <v>38</v>
      </c>
      <c r="B21" t="str">
        <f>"""" &amp; Daily!B30 &amp; """"</f>
        <v>""</v>
      </c>
    </row>
    <row r="22" spans="1:15" x14ac:dyDescent="0.25">
      <c r="A22" t="s">
        <v>39</v>
      </c>
      <c r="B22" s="4" t="str">
        <f>"[" &amp; Daily!B31  &amp; "]"</f>
        <v>[2300, 2330, 0000, 0030, 0100, 0130, 0200, 0230, 0300, 0330, 0400, 0430, 0500, 0530, 0600, 0630]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1:15" x14ac:dyDescent="0.25">
      <c r="A23" t="s">
        <v>40</v>
      </c>
      <c r="B23" t="b">
        <v>0</v>
      </c>
    </row>
    <row r="24" spans="1:15" x14ac:dyDescent="0.25">
      <c r="A24" t="s">
        <v>41</v>
      </c>
      <c r="B24" t="str">
        <f>"""" &amp; Daily!B34 &amp; """"</f>
        <v>""</v>
      </c>
    </row>
    <row r="25" spans="1:15" x14ac:dyDescent="0.25">
      <c r="A25" t="s">
        <v>42</v>
      </c>
      <c r="B25" s="4" t="str">
        <f>"[" &amp; Daily!B35  &amp; "]"</f>
        <v>[2300, 2330, 0000, 0030, 0100, 0130, 0200, 0230, 0300, 0330, 0400, 0430, 0500, 0530, 0600, 0630]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</row>
    <row r="26" spans="1:15" x14ac:dyDescent="0.25">
      <c r="A26" t="s">
        <v>43</v>
      </c>
      <c r="B26" t="b">
        <v>0</v>
      </c>
    </row>
    <row r="27" spans="1:15" x14ac:dyDescent="0.25">
      <c r="A27" t="s">
        <v>83</v>
      </c>
      <c r="B27" t="b">
        <v>1</v>
      </c>
    </row>
    <row r="28" spans="1:15" x14ac:dyDescent="0.25">
      <c r="A28" t="s">
        <v>44</v>
      </c>
      <c r="B28" t="b">
        <v>1</v>
      </c>
    </row>
    <row r="29" spans="1:15" x14ac:dyDescent="0.25">
      <c r="A29" t="s">
        <v>45</v>
      </c>
      <c r="B29" t="str">
        <f>"""" &amp; Daily!B43 &amp; """"</f>
        <v>""</v>
      </c>
    </row>
    <row r="30" spans="1:15" x14ac:dyDescent="0.25">
      <c r="A30" t="s">
        <v>46</v>
      </c>
      <c r="B30" s="4" t="str">
        <f>"[" &amp; Daily!B44  &amp; "]"</f>
        <v>[2300, 2330, 0000, 0030, 0100, 0130, 0200, 0230, 0300, 0330, 0400, 0430, 0500, 0530, 0600, 0630]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5" x14ac:dyDescent="0.25">
      <c r="A31" t="s">
        <v>47</v>
      </c>
      <c r="B31" t="b">
        <v>0</v>
      </c>
    </row>
    <row r="32" spans="1:15" x14ac:dyDescent="0.25">
      <c r="A32" t="s">
        <v>48</v>
      </c>
      <c r="B32" t="str">
        <f>"""" &amp; Daily!B47 &amp; """"</f>
        <v>""</v>
      </c>
    </row>
    <row r="33" spans="1:15" x14ac:dyDescent="0.25">
      <c r="A33" t="s">
        <v>49</v>
      </c>
      <c r="B33" s="4" t="str">
        <f>"[" &amp; Daily!B48  &amp; "]"</f>
        <v>[2300, 2330, 0000, 0030, 0100, 0130, 0200, 0230, 0300, 0330, 0400, 0430, 0500, 0530, 0600, 0630]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x14ac:dyDescent="0.25">
      <c r="A34" t="s">
        <v>50</v>
      </c>
      <c r="B34" t="b">
        <v>0</v>
      </c>
    </row>
    <row r="35" spans="1:15" x14ac:dyDescent="0.25">
      <c r="A35" t="s">
        <v>51</v>
      </c>
      <c r="B35" t="str">
        <f t="array" ref="B35">"""" &amp; Daily!B51 &amp; """"</f>
        <v>""</v>
      </c>
    </row>
    <row r="36" spans="1:15" x14ac:dyDescent="0.25">
      <c r="A36" t="s">
        <v>52</v>
      </c>
      <c r="B36" s="4" t="str">
        <f>"[" &amp; Daily!B52 &amp; "]"</f>
        <v>[2300, 2330, 0000, 0030, 0100, 0130, 0200, 0230, 0300, 0330, 0400, 0430, 0500, 0530, 0600, 0630]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spans="1:15" x14ac:dyDescent="0.25">
      <c r="A37" t="s">
        <v>53</v>
      </c>
      <c r="B37" t="b">
        <v>0</v>
      </c>
    </row>
    <row r="38" spans="1:15" x14ac:dyDescent="0.25">
      <c r="A38" t="s">
        <v>84</v>
      </c>
      <c r="B38" t="b">
        <v>1</v>
      </c>
    </row>
    <row r="39" spans="1:15" x14ac:dyDescent="0.25">
      <c r="A39" t="s">
        <v>54</v>
      </c>
      <c r="B39" t="b">
        <v>1</v>
      </c>
    </row>
    <row r="40" spans="1:15" x14ac:dyDescent="0.25">
      <c r="A40" t="s">
        <v>55</v>
      </c>
      <c r="B40" t="str">
        <f>"""" &amp; Daily!B60 &amp; """"</f>
        <v>""</v>
      </c>
    </row>
    <row r="41" spans="1:15" x14ac:dyDescent="0.25">
      <c r="A41" t="s">
        <v>56</v>
      </c>
      <c r="B41" s="4" t="str">
        <f>"[" &amp; Daily!B61  &amp; "]"</f>
        <v>[2300, 2330, 0000, 0030, 0100, 0130, 0200, 0230, 0300, 0330, 0400, 0430, 0500, 0530, 0600, 0630]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1:15" x14ac:dyDescent="0.25">
      <c r="A42" t="s">
        <v>57</v>
      </c>
      <c r="B42" t="b">
        <v>0</v>
      </c>
    </row>
    <row r="43" spans="1:15" x14ac:dyDescent="0.25">
      <c r="A43" t="s">
        <v>58</v>
      </c>
      <c r="B43" t="str">
        <f>"""" &amp; Daily!B64 &amp; """"</f>
        <v>""</v>
      </c>
    </row>
    <row r="44" spans="1:15" x14ac:dyDescent="0.25">
      <c r="A44" t="s">
        <v>59</v>
      </c>
      <c r="B44" s="4" t="str">
        <f>"[" &amp; Daily!B65  &amp; "]"</f>
        <v>[2300, 2330, 0000, 0030, 0100, 0130, 0200, 0230, 0300, 0330, 0400, 0430, 0500, 0530, 0600, 0630]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</row>
    <row r="45" spans="1:15" x14ac:dyDescent="0.25">
      <c r="A45" t="s">
        <v>60</v>
      </c>
      <c r="B45" t="b">
        <v>0</v>
      </c>
    </row>
    <row r="46" spans="1:15" x14ac:dyDescent="0.25">
      <c r="A46" t="s">
        <v>61</v>
      </c>
      <c r="B46" t="str">
        <f>"""" &amp; Daily!$B68 &amp; """"</f>
        <v>""</v>
      </c>
    </row>
    <row r="47" spans="1:15" x14ac:dyDescent="0.25">
      <c r="A47" t="s">
        <v>62</v>
      </c>
      <c r="B47" s="4" t="str">
        <f>"[" &amp; Daily!$B69  &amp; "]"</f>
        <v>[2300, 2330, 0000, 0030, 0100, 0130, 0200, 0230, 0300, 0330, 0400, 0430, 0500, 0530, 0600, 0630]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</row>
    <row r="48" spans="1:15" x14ac:dyDescent="0.25">
      <c r="A48" t="s">
        <v>63</v>
      </c>
      <c r="B48" t="b">
        <v>0</v>
      </c>
    </row>
    <row r="49" spans="1:15" x14ac:dyDescent="0.25">
      <c r="A49" t="s">
        <v>85</v>
      </c>
      <c r="B49" t="b">
        <v>1</v>
      </c>
    </row>
    <row r="50" spans="1:15" ht="18" customHeight="1" x14ac:dyDescent="0.25">
      <c r="A50" t="s">
        <v>64</v>
      </c>
      <c r="B50" t="b">
        <v>1</v>
      </c>
    </row>
    <row r="51" spans="1:15" x14ac:dyDescent="0.25">
      <c r="A51" t="s">
        <v>65</v>
      </c>
      <c r="B51" t="str">
        <f>"""" &amp; Daily!B77 &amp; """"</f>
        <v>""</v>
      </c>
    </row>
    <row r="52" spans="1:15" x14ac:dyDescent="0.25">
      <c r="A52" t="s">
        <v>66</v>
      </c>
      <c r="B52" s="4" t="str">
        <f>"[" &amp; Daily!B78  &amp; "]"</f>
        <v>[2300, 2330, 0000, 0030, 0100, 0130, 0200, 0230, 0300, 0330, 0400, 0430, 0500, 0530, 0600, 0630]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</row>
    <row r="53" spans="1:15" x14ac:dyDescent="0.25">
      <c r="A53" t="s">
        <v>67</v>
      </c>
      <c r="B53" t="b">
        <v>0</v>
      </c>
    </row>
    <row r="54" spans="1:15" x14ac:dyDescent="0.25">
      <c r="A54" t="s">
        <v>68</v>
      </c>
      <c r="B54" t="str">
        <f>"""" &amp; Daily!B81 &amp; """"</f>
        <v>""</v>
      </c>
    </row>
    <row r="55" spans="1:15" x14ac:dyDescent="0.25">
      <c r="A55" t="s">
        <v>69</v>
      </c>
      <c r="B55" s="4" t="str">
        <f>"[" &amp; Daily!B82  &amp; "]"</f>
        <v>[2300, 2330, 0000, 0030, 0100, 0130, 0200, 0230, 0300, 0330, 0400, 0430, 0500, 0530, 0600, 0630]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</row>
    <row r="56" spans="1:15" x14ac:dyDescent="0.25">
      <c r="A56" t="s">
        <v>70</v>
      </c>
      <c r="B56" t="b">
        <v>0</v>
      </c>
    </row>
    <row r="57" spans="1:15" x14ac:dyDescent="0.25">
      <c r="A57" t="s">
        <v>71</v>
      </c>
      <c r="B57" t="str">
        <f>"""" &amp; Daily!B85&amp; """"</f>
        <v>""</v>
      </c>
    </row>
    <row r="58" spans="1:15" x14ac:dyDescent="0.25">
      <c r="A58" t="s">
        <v>72</v>
      </c>
      <c r="B58" s="4" t="str">
        <f>"[" &amp; Daily!B86  &amp; "]"</f>
        <v>[2300, 2330, 0000, 0030, 0100, 0130, 0200, 0230, 0300, 0330, 0400, 0430, 0500, 0530, 0600, 0630]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</row>
    <row r="59" spans="1:15" x14ac:dyDescent="0.25">
      <c r="A59" t="s">
        <v>73</v>
      </c>
      <c r="B59" t="b">
        <v>0</v>
      </c>
    </row>
    <row r="60" spans="1:15" x14ac:dyDescent="0.25">
      <c r="A60" t="s">
        <v>74</v>
      </c>
      <c r="B60" t="b">
        <v>1</v>
      </c>
    </row>
    <row r="61" spans="1:15" x14ac:dyDescent="0.25">
      <c r="A61" t="s">
        <v>75</v>
      </c>
      <c r="B61" t="str">
        <f>"""" &amp; Daily!B93 &amp; """"</f>
        <v>""</v>
      </c>
    </row>
    <row r="62" spans="1:15" x14ac:dyDescent="0.25">
      <c r="A62" t="s">
        <v>76</v>
      </c>
      <c r="B62" s="4" t="str">
        <f>"[" &amp; Daily!B94  &amp; "]"</f>
        <v>[2300, 2330, 0000, 0030, 0100, 0130, 0200, 0230, 0300, 0330, 0400, 0430, 0500, 0530, 0600, 0630]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</row>
    <row r="63" spans="1:15" x14ac:dyDescent="0.25">
      <c r="A63" t="s">
        <v>77</v>
      </c>
      <c r="B63" t="b">
        <v>0</v>
      </c>
    </row>
    <row r="64" spans="1:15" x14ac:dyDescent="0.25">
      <c r="A64" t="s">
        <v>78</v>
      </c>
      <c r="B64" t="str">
        <f>"""" &amp; Daily!B97 &amp; """"</f>
        <v>""</v>
      </c>
    </row>
    <row r="65" spans="1:15" x14ac:dyDescent="0.25">
      <c r="A65" t="s">
        <v>79</v>
      </c>
      <c r="B65" s="4" t="str">
        <f>"[" &amp; Daily!B98  &amp; "]"</f>
        <v>[2300, 2330, 0000, 0030, 0100, 0130, 0200, 0230, 0300, 0330, 0400, 0430, 0500, 0530, 0600, 0630]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</row>
    <row r="66" spans="1:15" x14ac:dyDescent="0.25">
      <c r="A66" t="s">
        <v>80</v>
      </c>
      <c r="B66" t="b">
        <v>0</v>
      </c>
    </row>
    <row r="67" spans="1:15" x14ac:dyDescent="0.25">
      <c r="A67" t="s">
        <v>81</v>
      </c>
      <c r="B67" t="str">
        <f>"""" &amp; Daily!B101 &amp; """"</f>
        <v>""</v>
      </c>
    </row>
    <row r="68" spans="1:15" x14ac:dyDescent="0.25">
      <c r="A68" t="s">
        <v>82</v>
      </c>
      <c r="B68" s="4" t="str">
        <f>"[" &amp; Daily!B102  &amp; "]"</f>
        <v>[2300, 2330, 0000, 0030, 0100, 0130, 0200, 0230, 0300, 0330, 0400, 0430, 0500, 0530, 0600, 0630]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2:R55"/>
  <sheetViews>
    <sheetView workbookViewId="0">
      <selection activeCell="E23" sqref="E23"/>
    </sheetView>
  </sheetViews>
  <sheetFormatPr defaultRowHeight="15" x14ac:dyDescent="0.25"/>
  <cols>
    <col min="1" max="1" width="12.5703125" style="8" customWidth="1"/>
    <col min="2" max="2" width="12.5703125" style="8" hidden="1" customWidth="1"/>
    <col min="5" max="5" width="11" style="1" bestFit="1" customWidth="1"/>
    <col min="6" max="6" width="11" hidden="1" customWidth="1"/>
    <col min="8" max="8" width="11.7109375" bestFit="1" customWidth="1"/>
    <col min="9" max="9" width="11" hidden="1" customWidth="1"/>
    <col min="10" max="10" width="11" customWidth="1"/>
    <col min="11" max="11" width="11.42578125" bestFit="1" customWidth="1"/>
    <col min="12" max="12" width="11" hidden="1" customWidth="1"/>
    <col min="14" max="14" width="11.7109375" bestFit="1" customWidth="1"/>
    <col min="15" max="15" width="11" hidden="1" customWidth="1"/>
    <col min="17" max="17" width="11.7109375" bestFit="1" customWidth="1"/>
    <col min="18" max="18" width="11" hidden="1" customWidth="1"/>
  </cols>
  <sheetData>
    <row r="2" spans="1:18" x14ac:dyDescent="0.25">
      <c r="A2" s="7" t="s">
        <v>0</v>
      </c>
      <c r="B2" s="7"/>
      <c r="E2" s="1" t="s">
        <v>1</v>
      </c>
      <c r="H2" s="1" t="s">
        <v>2</v>
      </c>
      <c r="K2" s="1" t="s">
        <v>3</v>
      </c>
      <c r="L2" s="1"/>
      <c r="N2" s="1" t="s">
        <v>4</v>
      </c>
      <c r="O2" s="1"/>
      <c r="Q2" s="1" t="s">
        <v>5</v>
      </c>
      <c r="R2" s="1"/>
    </row>
    <row r="3" spans="1:18" x14ac:dyDescent="0.25">
      <c r="A3" s="9">
        <v>100031000</v>
      </c>
      <c r="B3" s="9" t="str">
        <f t="shared" ref="B3:B34" si="0">TEXT(A3, "0000000000")</f>
        <v>0100031000</v>
      </c>
      <c r="E3" s="2">
        <v>100017000</v>
      </c>
      <c r="F3" s="9" t="str">
        <f t="shared" ref="F3:F34" si="1">TEXT(E3, "0000000000")</f>
        <v>0100017000</v>
      </c>
      <c r="H3" s="1">
        <v>100013000</v>
      </c>
      <c r="I3" s="9" t="str">
        <f t="shared" ref="I3:I34" si="2">TEXT(H3, "0000000000")</f>
        <v>0100013000</v>
      </c>
      <c r="J3" s="9"/>
      <c r="K3" s="1">
        <v>100014000</v>
      </c>
      <c r="L3" s="9" t="str">
        <f t="shared" ref="L3:L34" si="3">TEXT(K3, "0000000000")</f>
        <v>0100014000</v>
      </c>
      <c r="N3">
        <v>100014000</v>
      </c>
      <c r="O3" s="9" t="str">
        <f t="shared" ref="O3:O34" si="4">TEXT(N3, "0000000000")</f>
        <v>0100014000</v>
      </c>
      <c r="Q3">
        <v>100005000</v>
      </c>
      <c r="R3" s="9" t="str">
        <f t="shared" ref="R3:R34" si="5">TEXT(Q3, "0000000000")</f>
        <v>0100005000</v>
      </c>
    </row>
    <row r="4" spans="1:18" x14ac:dyDescent="0.25">
      <c r="A4" s="9">
        <v>100032000</v>
      </c>
      <c r="B4" s="9" t="str">
        <f t="shared" si="0"/>
        <v>0100032000</v>
      </c>
      <c r="E4" s="2">
        <v>100048000</v>
      </c>
      <c r="F4" s="9" t="str">
        <f t="shared" si="1"/>
        <v>0100048000</v>
      </c>
      <c r="H4" s="1">
        <v>100067000</v>
      </c>
      <c r="I4" s="9" t="str">
        <f t="shared" si="2"/>
        <v>0100067000</v>
      </c>
      <c r="J4" s="9"/>
      <c r="K4" s="1">
        <v>100182000</v>
      </c>
      <c r="L4" s="9" t="str">
        <f t="shared" si="3"/>
        <v>0100182000</v>
      </c>
      <c r="N4">
        <v>100062000</v>
      </c>
      <c r="O4" s="9" t="str">
        <f t="shared" si="4"/>
        <v>0100062000</v>
      </c>
      <c r="Q4">
        <v>100058000</v>
      </c>
      <c r="R4" s="9" t="str">
        <f t="shared" si="5"/>
        <v>0100058000</v>
      </c>
    </row>
    <row r="5" spans="1:18" x14ac:dyDescent="0.25">
      <c r="A5" s="9">
        <v>100075000</v>
      </c>
      <c r="B5" s="9" t="str">
        <f t="shared" si="0"/>
        <v>0100075000</v>
      </c>
      <c r="E5" s="2">
        <v>100061000</v>
      </c>
      <c r="F5" s="9" t="str">
        <f t="shared" si="1"/>
        <v>0100061000</v>
      </c>
      <c r="H5" s="1">
        <v>100316000</v>
      </c>
      <c r="I5" s="9" t="str">
        <f t="shared" si="2"/>
        <v>0100316000</v>
      </c>
      <c r="J5" s="9"/>
      <c r="K5" s="1">
        <v>100183000</v>
      </c>
      <c r="L5" s="9" t="str">
        <f t="shared" si="3"/>
        <v>0100183000</v>
      </c>
      <c r="N5">
        <v>100076000</v>
      </c>
      <c r="O5" s="9" t="str">
        <f t="shared" si="4"/>
        <v>0100076000</v>
      </c>
      <c r="Q5">
        <v>100067000</v>
      </c>
      <c r="R5" s="9" t="str">
        <f t="shared" si="5"/>
        <v>0100067000</v>
      </c>
    </row>
    <row r="6" spans="1:18" x14ac:dyDescent="0.25">
      <c r="A6" s="9">
        <v>100099000</v>
      </c>
      <c r="B6" s="9" t="str">
        <f t="shared" si="0"/>
        <v>0100099000</v>
      </c>
      <c r="E6" s="2">
        <v>100082000</v>
      </c>
      <c r="F6" s="9" t="str">
        <f t="shared" si="1"/>
        <v>0100082000</v>
      </c>
      <c r="H6" s="1">
        <v>100415000</v>
      </c>
      <c r="I6" s="9" t="str">
        <f t="shared" si="2"/>
        <v>0100415000</v>
      </c>
      <c r="J6" s="9"/>
      <c r="K6" s="1">
        <v>100185000</v>
      </c>
      <c r="L6" s="9" t="str">
        <f t="shared" si="3"/>
        <v>0100185000</v>
      </c>
      <c r="N6">
        <v>100085000</v>
      </c>
      <c r="O6" s="9" t="str">
        <f t="shared" si="4"/>
        <v>0100085000</v>
      </c>
      <c r="Q6">
        <v>100078000</v>
      </c>
      <c r="R6" s="9" t="str">
        <f t="shared" si="5"/>
        <v>0100078000</v>
      </c>
    </row>
    <row r="7" spans="1:18" x14ac:dyDescent="0.25">
      <c r="A7" s="9">
        <v>100120000</v>
      </c>
      <c r="B7" s="9" t="str">
        <f t="shared" si="0"/>
        <v>0100120000</v>
      </c>
      <c r="E7" s="2">
        <v>100084000</v>
      </c>
      <c r="F7" s="9" t="str">
        <f t="shared" si="1"/>
        <v>0100084000</v>
      </c>
      <c r="H7" s="1">
        <v>100420000</v>
      </c>
      <c r="I7" s="9" t="str">
        <f t="shared" si="2"/>
        <v>0100420000</v>
      </c>
      <c r="J7" s="9"/>
      <c r="K7" s="1">
        <v>100186000</v>
      </c>
      <c r="L7" s="9" t="str">
        <f t="shared" si="3"/>
        <v>0100186000</v>
      </c>
      <c r="N7">
        <v>100099000</v>
      </c>
      <c r="O7" s="9" t="str">
        <f t="shared" si="4"/>
        <v>0100099000</v>
      </c>
      <c r="Q7">
        <v>100122000</v>
      </c>
      <c r="R7" s="9" t="str">
        <f t="shared" si="5"/>
        <v>0100122000</v>
      </c>
    </row>
    <row r="8" spans="1:18" x14ac:dyDescent="0.25">
      <c r="A8" s="9">
        <v>100121000</v>
      </c>
      <c r="B8" s="9" t="str">
        <f t="shared" si="0"/>
        <v>0100121000</v>
      </c>
      <c r="E8" s="2">
        <v>100098000</v>
      </c>
      <c r="F8" s="9" t="str">
        <f t="shared" si="1"/>
        <v>0100098000</v>
      </c>
      <c r="H8" s="1">
        <v>100735000</v>
      </c>
      <c r="I8" s="9" t="str">
        <f t="shared" si="2"/>
        <v>0100735000</v>
      </c>
      <c r="J8" s="9"/>
      <c r="K8" s="1">
        <v>100187000</v>
      </c>
      <c r="L8" s="9" t="str">
        <f t="shared" si="3"/>
        <v>0100187000</v>
      </c>
      <c r="N8">
        <v>100120000</v>
      </c>
      <c r="O8" s="9" t="str">
        <f t="shared" si="4"/>
        <v>0100120000</v>
      </c>
      <c r="Q8">
        <v>100235000</v>
      </c>
      <c r="R8" s="9" t="str">
        <f t="shared" si="5"/>
        <v>0100235000</v>
      </c>
    </row>
    <row r="9" spans="1:18" x14ac:dyDescent="0.25">
      <c r="A9" s="9">
        <v>100124000</v>
      </c>
      <c r="B9" s="9" t="str">
        <f t="shared" si="0"/>
        <v>0100124000</v>
      </c>
      <c r="E9" s="2">
        <v>100158000</v>
      </c>
      <c r="F9" s="9" t="str">
        <f t="shared" si="1"/>
        <v>0100158000</v>
      </c>
      <c r="H9" s="1">
        <v>100757000</v>
      </c>
      <c r="I9" s="9" t="str">
        <f t="shared" si="2"/>
        <v>0100757000</v>
      </c>
      <c r="J9" s="9"/>
      <c r="K9" s="1">
        <v>100188000</v>
      </c>
      <c r="L9" s="9" t="str">
        <f t="shared" si="3"/>
        <v>0100188000</v>
      </c>
      <c r="N9">
        <v>100121000</v>
      </c>
      <c r="O9" s="9" t="str">
        <f t="shared" si="4"/>
        <v>0100121000</v>
      </c>
      <c r="Q9">
        <v>100236000</v>
      </c>
      <c r="R9" s="9" t="str">
        <f t="shared" si="5"/>
        <v>0100236000</v>
      </c>
    </row>
    <row r="10" spans="1:18" x14ac:dyDescent="0.25">
      <c r="A10" s="9">
        <v>100238000</v>
      </c>
      <c r="B10" s="9" t="str">
        <f t="shared" si="0"/>
        <v>0100238000</v>
      </c>
      <c r="E10" s="2">
        <v>100159000</v>
      </c>
      <c r="F10" s="9" t="str">
        <f t="shared" si="1"/>
        <v>0100159000</v>
      </c>
      <c r="H10" s="1">
        <v>105220000</v>
      </c>
      <c r="I10" s="9" t="str">
        <f t="shared" si="2"/>
        <v>0105220000</v>
      </c>
      <c r="J10" s="9"/>
      <c r="K10" s="1">
        <v>100210000</v>
      </c>
      <c r="L10" s="9" t="str">
        <f t="shared" si="3"/>
        <v>0100210000</v>
      </c>
      <c r="N10">
        <v>100124000</v>
      </c>
      <c r="O10" s="9" t="str">
        <f t="shared" si="4"/>
        <v>0100124000</v>
      </c>
      <c r="Q10">
        <v>100317000</v>
      </c>
      <c r="R10" s="9" t="str">
        <f t="shared" si="5"/>
        <v>0100317000</v>
      </c>
    </row>
    <row r="11" spans="1:18" x14ac:dyDescent="0.25">
      <c r="A11" s="9">
        <v>100315000</v>
      </c>
      <c r="B11" s="9" t="str">
        <f t="shared" si="0"/>
        <v>0100315000</v>
      </c>
      <c r="E11" s="2">
        <v>100164000</v>
      </c>
      <c r="F11" s="9" t="str">
        <f t="shared" si="1"/>
        <v>0100164000</v>
      </c>
      <c r="H11" s="1">
        <v>152340000</v>
      </c>
      <c r="I11" s="9" t="str">
        <f t="shared" si="2"/>
        <v>0152340000</v>
      </c>
      <c r="J11" s="9"/>
      <c r="K11" s="1">
        <v>100211000</v>
      </c>
      <c r="L11" s="9" t="str">
        <f t="shared" si="3"/>
        <v>0100211000</v>
      </c>
      <c r="N11">
        <v>100182000</v>
      </c>
      <c r="O11" s="9" t="str">
        <f t="shared" si="4"/>
        <v>0100182000</v>
      </c>
      <c r="Q11">
        <v>100338000</v>
      </c>
      <c r="R11" s="9" t="str">
        <f t="shared" si="5"/>
        <v>0100338000</v>
      </c>
    </row>
    <row r="12" spans="1:18" x14ac:dyDescent="0.25">
      <c r="A12" s="9">
        <v>100509000</v>
      </c>
      <c r="B12" s="9" t="str">
        <f t="shared" si="0"/>
        <v>0100509000</v>
      </c>
      <c r="E12" s="2">
        <v>100207000</v>
      </c>
      <c r="F12" s="9" t="str">
        <f t="shared" si="1"/>
        <v>0100207000</v>
      </c>
      <c r="H12" s="2">
        <v>4607387000</v>
      </c>
      <c r="I12" s="9" t="str">
        <f t="shared" si="2"/>
        <v>4607387000</v>
      </c>
      <c r="J12" s="9"/>
      <c r="K12" s="1">
        <v>100216000</v>
      </c>
      <c r="L12" s="9" t="str">
        <f t="shared" si="3"/>
        <v>0100216000</v>
      </c>
      <c r="N12">
        <v>100183000</v>
      </c>
      <c r="O12" s="9" t="str">
        <f t="shared" si="4"/>
        <v>0100183000</v>
      </c>
      <c r="Q12">
        <v>100420000</v>
      </c>
      <c r="R12" s="9" t="str">
        <f t="shared" si="5"/>
        <v>0100420000</v>
      </c>
    </row>
    <row r="13" spans="1:18" x14ac:dyDescent="0.25">
      <c r="A13" s="9">
        <v>100512000</v>
      </c>
      <c r="B13" s="9" t="str">
        <f t="shared" si="0"/>
        <v>0100512000</v>
      </c>
      <c r="E13" s="2">
        <v>100207000</v>
      </c>
      <c r="F13" s="9" t="str">
        <f t="shared" si="1"/>
        <v>0100207000</v>
      </c>
      <c r="H13" s="2">
        <v>4620530081</v>
      </c>
      <c r="I13" s="9" t="str">
        <f t="shared" si="2"/>
        <v>4620530081</v>
      </c>
      <c r="J13" s="9"/>
      <c r="K13" s="1">
        <v>100260000</v>
      </c>
      <c r="L13" s="9" t="str">
        <f t="shared" si="3"/>
        <v>0100260000</v>
      </c>
      <c r="N13">
        <v>100185000</v>
      </c>
      <c r="O13" s="9" t="str">
        <f t="shared" si="4"/>
        <v>0100185000</v>
      </c>
      <c r="Q13">
        <v>105220000</v>
      </c>
      <c r="R13" s="9" t="str">
        <f t="shared" si="5"/>
        <v>0105220000</v>
      </c>
    </row>
    <row r="14" spans="1:18" x14ac:dyDescent="0.25">
      <c r="A14" s="9">
        <v>111501000</v>
      </c>
      <c r="B14" s="9" t="str">
        <f t="shared" si="0"/>
        <v>0111501000</v>
      </c>
      <c r="E14" s="1">
        <v>100235000</v>
      </c>
      <c r="F14" s="9" t="str">
        <f t="shared" si="1"/>
        <v>0100235000</v>
      </c>
      <c r="H14" s="1"/>
      <c r="I14" s="9" t="str">
        <f t="shared" si="2"/>
        <v>0000000000</v>
      </c>
      <c r="J14" s="9"/>
      <c r="K14" s="1">
        <v>100261000</v>
      </c>
      <c r="L14" s="9" t="str">
        <f t="shared" si="3"/>
        <v>0100261000</v>
      </c>
      <c r="N14">
        <v>100186000</v>
      </c>
      <c r="O14" s="9" t="str">
        <f t="shared" si="4"/>
        <v>0100186000</v>
      </c>
      <c r="Q14">
        <v>152330000</v>
      </c>
      <c r="R14" s="9" t="str">
        <f t="shared" si="5"/>
        <v>0152330000</v>
      </c>
    </row>
    <row r="15" spans="1:18" x14ac:dyDescent="0.25">
      <c r="A15" s="9">
        <v>148731000</v>
      </c>
      <c r="B15" s="9" t="str">
        <f t="shared" si="0"/>
        <v>0148731000</v>
      </c>
      <c r="E15" s="1">
        <v>100236000</v>
      </c>
      <c r="F15" s="9" t="str">
        <f t="shared" si="1"/>
        <v>0100236000</v>
      </c>
      <c r="H15" s="1"/>
      <c r="I15" s="9" t="str">
        <f t="shared" si="2"/>
        <v>0000000000</v>
      </c>
      <c r="J15" s="9"/>
      <c r="K15" s="1">
        <v>100918000</v>
      </c>
      <c r="L15" s="9" t="str">
        <f t="shared" si="3"/>
        <v>0100918000</v>
      </c>
      <c r="N15">
        <v>100187000</v>
      </c>
      <c r="O15" s="9" t="str">
        <f t="shared" si="4"/>
        <v>0100187000</v>
      </c>
      <c r="Q15">
        <v>152340000</v>
      </c>
      <c r="R15" s="9" t="str">
        <f t="shared" si="5"/>
        <v>0152340000</v>
      </c>
    </row>
    <row r="16" spans="1:18" x14ac:dyDescent="0.25">
      <c r="A16" s="9">
        <v>148732000</v>
      </c>
      <c r="B16" s="9" t="str">
        <f t="shared" si="0"/>
        <v>0148732000</v>
      </c>
      <c r="E16" s="2">
        <v>100254000</v>
      </c>
      <c r="F16" s="9" t="str">
        <f t="shared" si="1"/>
        <v>0100254000</v>
      </c>
      <c r="H16" s="1"/>
      <c r="I16" s="9" t="str">
        <f t="shared" si="2"/>
        <v>0000000000</v>
      </c>
      <c r="J16" s="9"/>
      <c r="L16" s="9" t="str">
        <f t="shared" si="3"/>
        <v>0000000000</v>
      </c>
      <c r="N16">
        <v>100188000</v>
      </c>
      <c r="O16" s="9" t="str">
        <f t="shared" si="4"/>
        <v>0100188000</v>
      </c>
      <c r="Q16">
        <v>152880000</v>
      </c>
      <c r="R16" s="9" t="str">
        <f t="shared" si="5"/>
        <v>0152880000</v>
      </c>
    </row>
    <row r="17" spans="1:18" x14ac:dyDescent="0.25">
      <c r="A17" s="9">
        <v>148733000</v>
      </c>
      <c r="B17" s="9" t="str">
        <f t="shared" si="0"/>
        <v>0148733000</v>
      </c>
      <c r="E17" s="2">
        <v>100318000</v>
      </c>
      <c r="F17" s="9" t="str">
        <f t="shared" si="1"/>
        <v>0100318000</v>
      </c>
      <c r="H17" s="1"/>
      <c r="I17" s="9" t="str">
        <f t="shared" si="2"/>
        <v>0000000000</v>
      </c>
      <c r="J17" s="9"/>
      <c r="L17" s="9" t="str">
        <f t="shared" si="3"/>
        <v>0000000000</v>
      </c>
      <c r="N17">
        <v>100210000</v>
      </c>
      <c r="O17" s="9" t="str">
        <f t="shared" si="4"/>
        <v>0100210000</v>
      </c>
      <c r="Q17">
        <v>189380000</v>
      </c>
      <c r="R17" s="9" t="str">
        <f t="shared" si="5"/>
        <v>0189380000</v>
      </c>
    </row>
    <row r="18" spans="1:18" x14ac:dyDescent="0.25">
      <c r="A18" s="9">
        <v>152230000</v>
      </c>
      <c r="B18" s="9" t="str">
        <f t="shared" si="0"/>
        <v>0152230000</v>
      </c>
      <c r="E18" s="2">
        <v>126826000</v>
      </c>
      <c r="F18" s="9" t="str">
        <f t="shared" si="1"/>
        <v>0126826000</v>
      </c>
      <c r="H18" s="1"/>
      <c r="I18" s="9" t="str">
        <f t="shared" si="2"/>
        <v>0000000000</v>
      </c>
      <c r="J18" s="9"/>
      <c r="L18" s="9" t="str">
        <f t="shared" si="3"/>
        <v>0000000000</v>
      </c>
      <c r="N18">
        <v>100211000</v>
      </c>
      <c r="O18" s="9" t="str">
        <f t="shared" si="4"/>
        <v>0100211000</v>
      </c>
      <c r="Q18">
        <v>4606200000</v>
      </c>
      <c r="R18" s="9" t="str">
        <f t="shared" si="5"/>
        <v>4606200000</v>
      </c>
    </row>
    <row r="19" spans="1:18" x14ac:dyDescent="0.25">
      <c r="A19" s="9">
        <v>185620000</v>
      </c>
      <c r="B19" s="9" t="str">
        <f t="shared" si="0"/>
        <v>0185620000</v>
      </c>
      <c r="E19" s="2">
        <v>141639000</v>
      </c>
      <c r="F19" s="9" t="str">
        <f t="shared" si="1"/>
        <v>0141639000</v>
      </c>
      <c r="H19" s="1"/>
      <c r="I19" s="9" t="str">
        <f t="shared" si="2"/>
        <v>0000000000</v>
      </c>
      <c r="J19" s="9"/>
      <c r="L19" s="9" t="str">
        <f t="shared" si="3"/>
        <v>0000000000</v>
      </c>
      <c r="N19">
        <v>100216000</v>
      </c>
      <c r="O19" s="9" t="str">
        <f t="shared" si="4"/>
        <v>0100216000</v>
      </c>
      <c r="R19" s="9" t="str">
        <f t="shared" si="5"/>
        <v>0000000000</v>
      </c>
    </row>
    <row r="20" spans="1:18" x14ac:dyDescent="0.25">
      <c r="A20" s="9">
        <v>300051000</v>
      </c>
      <c r="B20" s="9" t="str">
        <f t="shared" si="0"/>
        <v>0300051000</v>
      </c>
      <c r="E20" s="2">
        <v>185030000</v>
      </c>
      <c r="F20" s="9" t="str">
        <f t="shared" si="1"/>
        <v>0185030000</v>
      </c>
      <c r="H20" s="1"/>
      <c r="I20" s="9" t="str">
        <f t="shared" si="2"/>
        <v>0000000000</v>
      </c>
      <c r="J20" s="9"/>
      <c r="L20" s="9" t="str">
        <f t="shared" si="3"/>
        <v>0000000000</v>
      </c>
      <c r="N20">
        <v>100260000</v>
      </c>
      <c r="O20" s="9" t="str">
        <f t="shared" si="4"/>
        <v>0100260000</v>
      </c>
      <c r="R20" s="9" t="str">
        <f t="shared" si="5"/>
        <v>0000000000</v>
      </c>
    </row>
    <row r="21" spans="1:18" x14ac:dyDescent="0.25">
      <c r="A21" s="9">
        <v>4619334000</v>
      </c>
      <c r="B21" s="9" t="str">
        <f t="shared" si="0"/>
        <v>4619334000</v>
      </c>
      <c r="E21" s="2">
        <v>4601766000</v>
      </c>
      <c r="F21" s="9" t="str">
        <f t="shared" si="1"/>
        <v>4601766000</v>
      </c>
      <c r="H21" s="1"/>
      <c r="I21" s="9" t="str">
        <f t="shared" si="2"/>
        <v>0000000000</v>
      </c>
      <c r="J21" s="9"/>
      <c r="L21" s="9" t="str">
        <f t="shared" si="3"/>
        <v>0000000000</v>
      </c>
      <c r="N21">
        <v>100261000</v>
      </c>
      <c r="O21" s="9" t="str">
        <f t="shared" si="4"/>
        <v>0100261000</v>
      </c>
      <c r="R21" s="9" t="str">
        <f t="shared" si="5"/>
        <v>0000000000</v>
      </c>
    </row>
    <row r="22" spans="1:18" x14ac:dyDescent="0.25">
      <c r="A22" s="10"/>
      <c r="B22" s="9" t="str">
        <f t="shared" si="0"/>
        <v>0000000000</v>
      </c>
      <c r="E22" s="1">
        <v>4602070000</v>
      </c>
      <c r="F22" s="9" t="str">
        <f t="shared" si="1"/>
        <v>4602070000</v>
      </c>
      <c r="H22" s="1"/>
      <c r="I22" s="9" t="str">
        <f t="shared" si="2"/>
        <v>0000000000</v>
      </c>
      <c r="J22" s="9"/>
      <c r="L22" s="9" t="str">
        <f t="shared" si="3"/>
        <v>0000000000</v>
      </c>
      <c r="N22">
        <v>100315000</v>
      </c>
      <c r="O22" s="9" t="str">
        <f t="shared" si="4"/>
        <v>0100315000</v>
      </c>
      <c r="R22" s="9" t="str">
        <f t="shared" si="5"/>
        <v>0000000000</v>
      </c>
    </row>
    <row r="23" spans="1:18" x14ac:dyDescent="0.25">
      <c r="A23" s="10"/>
      <c r="B23" s="9" t="str">
        <f t="shared" si="0"/>
        <v>0000000000</v>
      </c>
      <c r="E23" s="24">
        <v>4606200000</v>
      </c>
      <c r="F23" s="9" t="str">
        <f t="shared" si="1"/>
        <v>4606200000</v>
      </c>
      <c r="I23" s="9" t="str">
        <f t="shared" si="2"/>
        <v>0000000000</v>
      </c>
      <c r="J23" s="9"/>
      <c r="L23" s="9" t="str">
        <f t="shared" si="3"/>
        <v>0000000000</v>
      </c>
      <c r="N23">
        <v>100918000</v>
      </c>
      <c r="O23" s="9" t="str">
        <f t="shared" si="4"/>
        <v>0100918000</v>
      </c>
      <c r="R23" s="9" t="str">
        <f t="shared" si="5"/>
        <v>0000000000</v>
      </c>
    </row>
    <row r="24" spans="1:18" x14ac:dyDescent="0.25">
      <c r="A24" s="10"/>
      <c r="B24" s="9" t="str">
        <f t="shared" si="0"/>
        <v>0000000000</v>
      </c>
      <c r="F24" s="9" t="str">
        <f t="shared" si="1"/>
        <v>0000000000</v>
      </c>
      <c r="I24" s="9" t="str">
        <f t="shared" si="2"/>
        <v>0000000000</v>
      </c>
      <c r="J24" s="9"/>
      <c r="L24" s="9" t="str">
        <f t="shared" si="3"/>
        <v>0000000000</v>
      </c>
      <c r="N24">
        <v>148731000</v>
      </c>
      <c r="O24" s="9" t="str">
        <f t="shared" si="4"/>
        <v>0148731000</v>
      </c>
      <c r="R24" s="9" t="str">
        <f t="shared" si="5"/>
        <v>0000000000</v>
      </c>
    </row>
    <row r="25" spans="1:18" x14ac:dyDescent="0.25">
      <c r="A25" s="10"/>
      <c r="B25" s="9" t="str">
        <f t="shared" si="0"/>
        <v>0000000000</v>
      </c>
      <c r="F25" s="9" t="str">
        <f t="shared" si="1"/>
        <v>0000000000</v>
      </c>
      <c r="I25" s="9" t="str">
        <f t="shared" si="2"/>
        <v>0000000000</v>
      </c>
      <c r="J25" s="9"/>
      <c r="L25" s="9" t="str">
        <f t="shared" si="3"/>
        <v>0000000000</v>
      </c>
      <c r="N25">
        <v>148732000</v>
      </c>
      <c r="O25" s="9" t="str">
        <f t="shared" si="4"/>
        <v>0148732000</v>
      </c>
      <c r="R25" s="9" t="str">
        <f t="shared" si="5"/>
        <v>0000000000</v>
      </c>
    </row>
    <row r="26" spans="1:18" x14ac:dyDescent="0.25">
      <c r="A26" s="10"/>
      <c r="B26" s="9" t="str">
        <f t="shared" si="0"/>
        <v>0000000000</v>
      </c>
      <c r="F26" s="9" t="str">
        <f t="shared" si="1"/>
        <v>0000000000</v>
      </c>
      <c r="I26" s="9" t="str">
        <f t="shared" si="2"/>
        <v>0000000000</v>
      </c>
      <c r="J26" s="9"/>
      <c r="L26" s="9" t="str">
        <f t="shared" si="3"/>
        <v>0000000000</v>
      </c>
      <c r="N26">
        <v>148733000</v>
      </c>
      <c r="O26" s="9" t="str">
        <f t="shared" si="4"/>
        <v>0148733000</v>
      </c>
      <c r="R26" s="9" t="str">
        <f t="shared" si="5"/>
        <v>0000000000</v>
      </c>
    </row>
    <row r="27" spans="1:18" x14ac:dyDescent="0.25">
      <c r="A27" s="10"/>
      <c r="B27" s="9" t="str">
        <f t="shared" si="0"/>
        <v>0000000000</v>
      </c>
      <c r="F27" s="9" t="str">
        <f t="shared" si="1"/>
        <v>0000000000</v>
      </c>
      <c r="I27" s="9" t="str">
        <f t="shared" si="2"/>
        <v>0000000000</v>
      </c>
      <c r="J27" s="9"/>
      <c r="L27" s="9" t="str">
        <f t="shared" si="3"/>
        <v>0000000000</v>
      </c>
      <c r="N27">
        <v>4619334000</v>
      </c>
      <c r="O27" s="9" t="str">
        <f t="shared" si="4"/>
        <v>4619334000</v>
      </c>
      <c r="R27" s="9" t="str">
        <f t="shared" si="5"/>
        <v>0000000000</v>
      </c>
    </row>
    <row r="28" spans="1:18" x14ac:dyDescent="0.25">
      <c r="A28" s="10"/>
      <c r="B28" s="9" t="str">
        <f t="shared" si="0"/>
        <v>0000000000</v>
      </c>
      <c r="F28" s="9" t="str">
        <f t="shared" si="1"/>
        <v>0000000000</v>
      </c>
      <c r="I28" s="9" t="str">
        <f t="shared" si="2"/>
        <v>0000000000</v>
      </c>
      <c r="J28" s="9"/>
      <c r="L28" s="9" t="str">
        <f t="shared" si="3"/>
        <v>0000000000</v>
      </c>
      <c r="O28" s="9" t="str">
        <f t="shared" si="4"/>
        <v>0000000000</v>
      </c>
      <c r="R28" s="9" t="str">
        <f t="shared" si="5"/>
        <v>0000000000</v>
      </c>
    </row>
    <row r="29" spans="1:18" x14ac:dyDescent="0.25">
      <c r="A29" s="10"/>
      <c r="B29" s="9" t="str">
        <f t="shared" si="0"/>
        <v>0000000000</v>
      </c>
      <c r="F29" s="9" t="str">
        <f t="shared" si="1"/>
        <v>0000000000</v>
      </c>
      <c r="I29" s="9" t="str">
        <f t="shared" si="2"/>
        <v>0000000000</v>
      </c>
      <c r="J29" s="9"/>
      <c r="L29" s="9" t="str">
        <f t="shared" si="3"/>
        <v>0000000000</v>
      </c>
      <c r="O29" s="9" t="str">
        <f t="shared" si="4"/>
        <v>0000000000</v>
      </c>
      <c r="R29" s="9" t="str">
        <f t="shared" si="5"/>
        <v>0000000000</v>
      </c>
    </row>
    <row r="30" spans="1:18" x14ac:dyDescent="0.25">
      <c r="A30" s="10"/>
      <c r="B30" s="9" t="str">
        <f t="shared" si="0"/>
        <v>0000000000</v>
      </c>
      <c r="F30" s="9" t="str">
        <f t="shared" si="1"/>
        <v>0000000000</v>
      </c>
      <c r="I30" s="9" t="str">
        <f t="shared" si="2"/>
        <v>0000000000</v>
      </c>
      <c r="J30" s="9"/>
      <c r="L30" s="9" t="str">
        <f t="shared" si="3"/>
        <v>0000000000</v>
      </c>
      <c r="O30" s="9" t="str">
        <f t="shared" si="4"/>
        <v>0000000000</v>
      </c>
      <c r="R30" s="9" t="str">
        <f t="shared" si="5"/>
        <v>0000000000</v>
      </c>
    </row>
    <row r="31" spans="1:18" x14ac:dyDescent="0.25">
      <c r="A31" s="10"/>
      <c r="B31" s="9" t="str">
        <f t="shared" si="0"/>
        <v>0000000000</v>
      </c>
      <c r="F31" s="9" t="str">
        <f t="shared" si="1"/>
        <v>0000000000</v>
      </c>
      <c r="I31" s="9" t="str">
        <f t="shared" si="2"/>
        <v>0000000000</v>
      </c>
      <c r="J31" s="9"/>
      <c r="L31" s="9" t="str">
        <f t="shared" si="3"/>
        <v>0000000000</v>
      </c>
      <c r="O31" s="9" t="str">
        <f t="shared" si="4"/>
        <v>0000000000</v>
      </c>
      <c r="R31" s="9" t="str">
        <f t="shared" si="5"/>
        <v>0000000000</v>
      </c>
    </row>
    <row r="32" spans="1:18" x14ac:dyDescent="0.25">
      <c r="A32" s="10"/>
      <c r="B32" s="9" t="str">
        <f t="shared" si="0"/>
        <v>0000000000</v>
      </c>
      <c r="F32" s="9" t="str">
        <f t="shared" si="1"/>
        <v>0000000000</v>
      </c>
      <c r="I32" s="9" t="str">
        <f t="shared" si="2"/>
        <v>0000000000</v>
      </c>
      <c r="J32" s="9"/>
      <c r="L32" s="9" t="str">
        <f t="shared" si="3"/>
        <v>0000000000</v>
      </c>
      <c r="O32" s="9" t="str">
        <f t="shared" si="4"/>
        <v>0000000000</v>
      </c>
      <c r="R32" s="9" t="str">
        <f t="shared" si="5"/>
        <v>0000000000</v>
      </c>
    </row>
    <row r="33" spans="1:18" x14ac:dyDescent="0.25">
      <c r="A33" s="10"/>
      <c r="B33" s="9" t="str">
        <f t="shared" si="0"/>
        <v>0000000000</v>
      </c>
      <c r="F33" s="9" t="str">
        <f t="shared" si="1"/>
        <v>0000000000</v>
      </c>
      <c r="I33" s="9" t="str">
        <f t="shared" si="2"/>
        <v>0000000000</v>
      </c>
      <c r="J33" s="9"/>
      <c r="L33" s="9" t="str">
        <f t="shared" si="3"/>
        <v>0000000000</v>
      </c>
      <c r="O33" s="9" t="str">
        <f t="shared" si="4"/>
        <v>0000000000</v>
      </c>
      <c r="R33" s="9" t="str">
        <f t="shared" si="5"/>
        <v>0000000000</v>
      </c>
    </row>
    <row r="34" spans="1:18" x14ac:dyDescent="0.25">
      <c r="A34" s="10"/>
      <c r="B34" s="9" t="str">
        <f t="shared" si="0"/>
        <v>0000000000</v>
      </c>
      <c r="F34" s="9" t="str">
        <f t="shared" si="1"/>
        <v>0000000000</v>
      </c>
      <c r="I34" s="9" t="str">
        <f t="shared" si="2"/>
        <v>0000000000</v>
      </c>
      <c r="J34" s="9"/>
      <c r="L34" s="9" t="str">
        <f t="shared" si="3"/>
        <v>0000000000</v>
      </c>
      <c r="O34" s="9" t="str">
        <f t="shared" si="4"/>
        <v>0000000000</v>
      </c>
      <c r="R34" s="9" t="str">
        <f t="shared" si="5"/>
        <v>0000000000</v>
      </c>
    </row>
    <row r="35" spans="1:18" x14ac:dyDescent="0.25">
      <c r="A35" s="10"/>
      <c r="B35" s="9" t="str">
        <f t="shared" ref="B35:B54" si="6">TEXT(A35, "0000000000")</f>
        <v>0000000000</v>
      </c>
      <c r="F35" s="9" t="str">
        <f t="shared" ref="F35:F54" si="7">TEXT(E35, "0000000000")</f>
        <v>0000000000</v>
      </c>
      <c r="I35" s="9" t="str">
        <f t="shared" ref="I35:I54" si="8">TEXT(H35, "0000000000")</f>
        <v>0000000000</v>
      </c>
      <c r="J35" s="9"/>
      <c r="L35" s="9" t="str">
        <f t="shared" ref="L35:L54" si="9">TEXT(K35, "0000000000")</f>
        <v>0000000000</v>
      </c>
      <c r="O35" s="9" t="str">
        <f t="shared" ref="O35:O54" si="10">TEXT(N35, "0000000000")</f>
        <v>0000000000</v>
      </c>
      <c r="R35" s="9" t="str">
        <f t="shared" ref="R35:R54" si="11">TEXT(Q35, "0000000000")</f>
        <v>0000000000</v>
      </c>
    </row>
    <row r="36" spans="1:18" x14ac:dyDescent="0.25">
      <c r="A36" s="10"/>
      <c r="B36" s="9" t="str">
        <f t="shared" si="6"/>
        <v>0000000000</v>
      </c>
      <c r="F36" s="9" t="str">
        <f t="shared" si="7"/>
        <v>0000000000</v>
      </c>
      <c r="I36" s="9" t="str">
        <f t="shared" si="8"/>
        <v>0000000000</v>
      </c>
      <c r="J36" s="9"/>
      <c r="L36" s="9" t="str">
        <f t="shared" si="9"/>
        <v>0000000000</v>
      </c>
      <c r="O36" s="9" t="str">
        <f t="shared" si="10"/>
        <v>0000000000</v>
      </c>
      <c r="R36" s="9" t="str">
        <f t="shared" si="11"/>
        <v>0000000000</v>
      </c>
    </row>
    <row r="37" spans="1:18" x14ac:dyDescent="0.25">
      <c r="A37" s="10"/>
      <c r="B37" s="9" t="str">
        <f t="shared" si="6"/>
        <v>0000000000</v>
      </c>
      <c r="F37" s="9" t="str">
        <f t="shared" si="7"/>
        <v>0000000000</v>
      </c>
      <c r="I37" s="9" t="str">
        <f t="shared" si="8"/>
        <v>0000000000</v>
      </c>
      <c r="J37" s="9"/>
      <c r="L37" s="9" t="str">
        <f t="shared" si="9"/>
        <v>0000000000</v>
      </c>
      <c r="O37" s="9" t="str">
        <f t="shared" si="10"/>
        <v>0000000000</v>
      </c>
      <c r="R37" s="9" t="str">
        <f t="shared" si="11"/>
        <v>0000000000</v>
      </c>
    </row>
    <row r="38" spans="1:18" x14ac:dyDescent="0.25">
      <c r="A38" s="10"/>
      <c r="B38" s="9" t="str">
        <f t="shared" si="6"/>
        <v>0000000000</v>
      </c>
      <c r="F38" s="9" t="str">
        <f t="shared" si="7"/>
        <v>0000000000</v>
      </c>
      <c r="I38" s="9" t="str">
        <f t="shared" si="8"/>
        <v>0000000000</v>
      </c>
      <c r="J38" s="9"/>
      <c r="L38" s="9" t="str">
        <f t="shared" si="9"/>
        <v>0000000000</v>
      </c>
      <c r="O38" s="9" t="str">
        <f t="shared" si="10"/>
        <v>0000000000</v>
      </c>
      <c r="R38" s="9" t="str">
        <f t="shared" si="11"/>
        <v>0000000000</v>
      </c>
    </row>
    <row r="39" spans="1:18" x14ac:dyDescent="0.25">
      <c r="A39" s="10"/>
      <c r="B39" s="9" t="str">
        <f t="shared" si="6"/>
        <v>0000000000</v>
      </c>
      <c r="F39" s="9" t="str">
        <f t="shared" si="7"/>
        <v>0000000000</v>
      </c>
      <c r="I39" s="9" t="str">
        <f t="shared" si="8"/>
        <v>0000000000</v>
      </c>
      <c r="J39" s="9"/>
      <c r="L39" s="9" t="str">
        <f t="shared" si="9"/>
        <v>0000000000</v>
      </c>
      <c r="O39" s="9" t="str">
        <f t="shared" si="10"/>
        <v>0000000000</v>
      </c>
      <c r="R39" s="9" t="str">
        <f t="shared" si="11"/>
        <v>0000000000</v>
      </c>
    </row>
    <row r="40" spans="1:18" x14ac:dyDescent="0.25">
      <c r="A40" s="10"/>
      <c r="B40" s="9" t="str">
        <f t="shared" si="6"/>
        <v>0000000000</v>
      </c>
      <c r="F40" s="9" t="str">
        <f t="shared" si="7"/>
        <v>0000000000</v>
      </c>
      <c r="I40" s="9" t="str">
        <f t="shared" si="8"/>
        <v>0000000000</v>
      </c>
      <c r="J40" s="9"/>
      <c r="L40" s="9" t="str">
        <f t="shared" si="9"/>
        <v>0000000000</v>
      </c>
      <c r="O40" s="9" t="str">
        <f t="shared" si="10"/>
        <v>0000000000</v>
      </c>
      <c r="R40" s="9" t="str">
        <f t="shared" si="11"/>
        <v>0000000000</v>
      </c>
    </row>
    <row r="41" spans="1:18" x14ac:dyDescent="0.25">
      <c r="A41" s="10"/>
      <c r="B41" s="9" t="str">
        <f t="shared" si="6"/>
        <v>0000000000</v>
      </c>
      <c r="F41" s="9" t="str">
        <f t="shared" si="7"/>
        <v>0000000000</v>
      </c>
      <c r="I41" s="9" t="str">
        <f t="shared" si="8"/>
        <v>0000000000</v>
      </c>
      <c r="J41" s="9"/>
      <c r="L41" s="9" t="str">
        <f t="shared" si="9"/>
        <v>0000000000</v>
      </c>
      <c r="O41" s="9" t="str">
        <f t="shared" si="10"/>
        <v>0000000000</v>
      </c>
      <c r="R41" s="9" t="str">
        <f t="shared" si="11"/>
        <v>0000000000</v>
      </c>
    </row>
    <row r="42" spans="1:18" x14ac:dyDescent="0.25">
      <c r="A42" s="10"/>
      <c r="B42" s="9" t="str">
        <f t="shared" si="6"/>
        <v>0000000000</v>
      </c>
      <c r="F42" s="9" t="str">
        <f t="shared" si="7"/>
        <v>0000000000</v>
      </c>
      <c r="I42" s="9" t="str">
        <f t="shared" si="8"/>
        <v>0000000000</v>
      </c>
      <c r="J42" s="9"/>
      <c r="L42" s="9" t="str">
        <f t="shared" si="9"/>
        <v>0000000000</v>
      </c>
      <c r="O42" s="9" t="str">
        <f t="shared" si="10"/>
        <v>0000000000</v>
      </c>
      <c r="R42" s="9" t="str">
        <f t="shared" si="11"/>
        <v>0000000000</v>
      </c>
    </row>
    <row r="43" spans="1:18" x14ac:dyDescent="0.25">
      <c r="A43" s="10"/>
      <c r="B43" s="9" t="str">
        <f t="shared" si="6"/>
        <v>0000000000</v>
      </c>
      <c r="F43" s="9" t="str">
        <f t="shared" si="7"/>
        <v>0000000000</v>
      </c>
      <c r="I43" s="9" t="str">
        <f t="shared" si="8"/>
        <v>0000000000</v>
      </c>
      <c r="J43" s="9"/>
      <c r="L43" s="9" t="str">
        <f t="shared" si="9"/>
        <v>0000000000</v>
      </c>
      <c r="O43" s="9" t="str">
        <f t="shared" si="10"/>
        <v>0000000000</v>
      </c>
      <c r="R43" s="9" t="str">
        <f t="shared" si="11"/>
        <v>0000000000</v>
      </c>
    </row>
    <row r="44" spans="1:18" x14ac:dyDescent="0.25">
      <c r="A44" s="10"/>
      <c r="B44" s="9" t="str">
        <f t="shared" si="6"/>
        <v>0000000000</v>
      </c>
      <c r="F44" s="9" t="str">
        <f t="shared" si="7"/>
        <v>0000000000</v>
      </c>
      <c r="I44" s="9" t="str">
        <f t="shared" si="8"/>
        <v>0000000000</v>
      </c>
      <c r="J44" s="9"/>
      <c r="L44" s="9" t="str">
        <f t="shared" si="9"/>
        <v>0000000000</v>
      </c>
      <c r="O44" s="9" t="str">
        <f t="shared" si="10"/>
        <v>0000000000</v>
      </c>
      <c r="R44" s="9" t="str">
        <f t="shared" si="11"/>
        <v>0000000000</v>
      </c>
    </row>
    <row r="45" spans="1:18" x14ac:dyDescent="0.25">
      <c r="A45" s="10"/>
      <c r="B45" s="9" t="str">
        <f t="shared" si="6"/>
        <v>0000000000</v>
      </c>
      <c r="F45" s="9" t="str">
        <f t="shared" si="7"/>
        <v>0000000000</v>
      </c>
      <c r="I45" s="9" t="str">
        <f t="shared" si="8"/>
        <v>0000000000</v>
      </c>
      <c r="J45" s="9"/>
      <c r="L45" s="9" t="str">
        <f t="shared" si="9"/>
        <v>0000000000</v>
      </c>
      <c r="O45" s="9" t="str">
        <f t="shared" si="10"/>
        <v>0000000000</v>
      </c>
      <c r="R45" s="9" t="str">
        <f t="shared" si="11"/>
        <v>0000000000</v>
      </c>
    </row>
    <row r="46" spans="1:18" x14ac:dyDescent="0.25">
      <c r="A46" s="10"/>
      <c r="B46" s="9" t="str">
        <f t="shared" si="6"/>
        <v>0000000000</v>
      </c>
      <c r="F46" s="9" t="str">
        <f t="shared" si="7"/>
        <v>0000000000</v>
      </c>
      <c r="I46" s="9" t="str">
        <f t="shared" si="8"/>
        <v>0000000000</v>
      </c>
      <c r="J46" s="9"/>
      <c r="L46" s="9" t="str">
        <f t="shared" si="9"/>
        <v>0000000000</v>
      </c>
      <c r="O46" s="9" t="str">
        <f t="shared" si="10"/>
        <v>0000000000</v>
      </c>
      <c r="R46" s="9" t="str">
        <f t="shared" si="11"/>
        <v>0000000000</v>
      </c>
    </row>
    <row r="47" spans="1:18" x14ac:dyDescent="0.25">
      <c r="A47" s="10"/>
      <c r="B47" s="9" t="str">
        <f t="shared" si="6"/>
        <v>0000000000</v>
      </c>
      <c r="F47" s="9" t="str">
        <f t="shared" si="7"/>
        <v>0000000000</v>
      </c>
      <c r="I47" s="9" t="str">
        <f t="shared" si="8"/>
        <v>0000000000</v>
      </c>
      <c r="J47" s="9"/>
      <c r="L47" s="9" t="str">
        <f t="shared" si="9"/>
        <v>0000000000</v>
      </c>
      <c r="O47" s="9" t="str">
        <f t="shared" si="10"/>
        <v>0000000000</v>
      </c>
      <c r="R47" s="9" t="str">
        <f t="shared" si="11"/>
        <v>0000000000</v>
      </c>
    </row>
    <row r="48" spans="1:18" x14ac:dyDescent="0.25">
      <c r="A48" s="10"/>
      <c r="B48" s="9" t="str">
        <f t="shared" si="6"/>
        <v>0000000000</v>
      </c>
      <c r="F48" s="9" t="str">
        <f t="shared" si="7"/>
        <v>0000000000</v>
      </c>
      <c r="I48" s="9" t="str">
        <f t="shared" si="8"/>
        <v>0000000000</v>
      </c>
      <c r="J48" s="9"/>
      <c r="L48" s="9" t="str">
        <f t="shared" si="9"/>
        <v>0000000000</v>
      </c>
      <c r="O48" s="9" t="str">
        <f t="shared" si="10"/>
        <v>0000000000</v>
      </c>
      <c r="R48" s="9" t="str">
        <f t="shared" si="11"/>
        <v>0000000000</v>
      </c>
    </row>
    <row r="49" spans="1:18" x14ac:dyDescent="0.25">
      <c r="A49" s="10"/>
      <c r="B49" s="9" t="str">
        <f t="shared" si="6"/>
        <v>0000000000</v>
      </c>
      <c r="F49" s="9" t="str">
        <f t="shared" si="7"/>
        <v>0000000000</v>
      </c>
      <c r="I49" s="9" t="str">
        <f t="shared" si="8"/>
        <v>0000000000</v>
      </c>
      <c r="J49" s="9"/>
      <c r="L49" s="9" t="str">
        <f t="shared" si="9"/>
        <v>0000000000</v>
      </c>
      <c r="O49" s="9" t="str">
        <f t="shared" si="10"/>
        <v>0000000000</v>
      </c>
      <c r="R49" s="9" t="str">
        <f t="shared" si="11"/>
        <v>0000000000</v>
      </c>
    </row>
    <row r="50" spans="1:18" x14ac:dyDescent="0.25">
      <c r="A50" s="10"/>
      <c r="B50" s="9" t="str">
        <f t="shared" si="6"/>
        <v>0000000000</v>
      </c>
      <c r="F50" s="9" t="str">
        <f t="shared" si="7"/>
        <v>0000000000</v>
      </c>
      <c r="I50" s="9" t="str">
        <f t="shared" si="8"/>
        <v>0000000000</v>
      </c>
      <c r="J50" s="9"/>
      <c r="L50" s="9" t="str">
        <f t="shared" si="9"/>
        <v>0000000000</v>
      </c>
      <c r="O50" s="9" t="str">
        <f t="shared" si="10"/>
        <v>0000000000</v>
      </c>
      <c r="R50" s="9" t="str">
        <f t="shared" si="11"/>
        <v>0000000000</v>
      </c>
    </row>
    <row r="51" spans="1:18" x14ac:dyDescent="0.25">
      <c r="A51" s="10"/>
      <c r="B51" s="9" t="str">
        <f t="shared" si="6"/>
        <v>0000000000</v>
      </c>
      <c r="F51" s="9" t="str">
        <f t="shared" si="7"/>
        <v>0000000000</v>
      </c>
      <c r="I51" s="9" t="str">
        <f t="shared" si="8"/>
        <v>0000000000</v>
      </c>
      <c r="J51" s="9"/>
      <c r="L51" s="9" t="str">
        <f t="shared" si="9"/>
        <v>0000000000</v>
      </c>
      <c r="O51" s="9" t="str">
        <f t="shared" si="10"/>
        <v>0000000000</v>
      </c>
      <c r="R51" s="9" t="str">
        <f t="shared" si="11"/>
        <v>0000000000</v>
      </c>
    </row>
    <row r="52" spans="1:18" x14ac:dyDescent="0.25">
      <c r="A52" s="10"/>
      <c r="B52" s="9" t="str">
        <f t="shared" si="6"/>
        <v>0000000000</v>
      </c>
      <c r="F52" s="9" t="str">
        <f t="shared" si="7"/>
        <v>0000000000</v>
      </c>
      <c r="I52" s="9" t="str">
        <f t="shared" si="8"/>
        <v>0000000000</v>
      </c>
      <c r="J52" s="9"/>
      <c r="L52" s="9" t="str">
        <f t="shared" si="9"/>
        <v>0000000000</v>
      </c>
      <c r="O52" s="9" t="str">
        <f t="shared" si="10"/>
        <v>0000000000</v>
      </c>
      <c r="R52" s="9" t="str">
        <f t="shared" si="11"/>
        <v>0000000000</v>
      </c>
    </row>
    <row r="53" spans="1:18" x14ac:dyDescent="0.25">
      <c r="A53" s="10"/>
      <c r="B53" s="9" t="str">
        <f t="shared" si="6"/>
        <v>0000000000</v>
      </c>
      <c r="F53" s="9" t="str">
        <f t="shared" si="7"/>
        <v>0000000000</v>
      </c>
      <c r="I53" s="9" t="str">
        <f t="shared" si="8"/>
        <v>0000000000</v>
      </c>
      <c r="J53" s="9"/>
      <c r="L53" s="9" t="str">
        <f t="shared" si="9"/>
        <v>0000000000</v>
      </c>
      <c r="O53" s="9" t="str">
        <f t="shared" si="10"/>
        <v>0000000000</v>
      </c>
      <c r="R53" s="9" t="str">
        <f t="shared" si="11"/>
        <v>0000000000</v>
      </c>
    </row>
    <row r="54" spans="1:18" x14ac:dyDescent="0.25">
      <c r="A54" s="10"/>
      <c r="B54" s="9" t="str">
        <f t="shared" si="6"/>
        <v>0000000000</v>
      </c>
      <c r="F54" s="9" t="str">
        <f t="shared" si="7"/>
        <v>0000000000</v>
      </c>
      <c r="I54" s="9" t="str">
        <f t="shared" si="8"/>
        <v>0000000000</v>
      </c>
      <c r="J54" s="9"/>
      <c r="L54" s="9" t="str">
        <f t="shared" si="9"/>
        <v>0000000000</v>
      </c>
      <c r="O54" s="9" t="str">
        <f t="shared" si="10"/>
        <v>0000000000</v>
      </c>
      <c r="R54" s="9" t="str">
        <f t="shared" si="11"/>
        <v>0000000000</v>
      </c>
    </row>
    <row r="55" spans="1:18" x14ac:dyDescent="0.25">
      <c r="A55" s="10"/>
      <c r="B55" s="10"/>
    </row>
  </sheetData>
  <sortState xmlns:xlrd2="http://schemas.microsoft.com/office/spreadsheetml/2017/richdata2" ref="Q3:R55">
    <sortCondition ref="Q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Daily</vt:lpstr>
      <vt:lpstr>Output</vt:lpstr>
      <vt:lpstr>Products</vt:lpstr>
      <vt:lpstr>L1P</vt:lpstr>
      <vt:lpstr>L2P</vt:lpstr>
      <vt:lpstr>L3P</vt:lpstr>
      <vt:lpstr>L5P</vt:lpstr>
      <vt:lpstr>L6P</vt:lpstr>
      <vt:lpstr>L7P</vt:lpstr>
      <vt:lpstr>L7P2</vt:lpstr>
      <vt:lpstr>L7Prod</vt:lpstr>
      <vt:lpstr>Line2</vt:lpstr>
      <vt:lpstr>Line4</vt:lpstr>
      <vt:lpstr>Line5</vt:lpstr>
      <vt:lpstr>Line6</vt:lpstr>
      <vt:lpstr>Line7</vt:lpstr>
      <vt:lpstr>Testone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Locke</dc:creator>
  <cp:lastModifiedBy>Chasity Vaughan</cp:lastModifiedBy>
  <dcterms:created xsi:type="dcterms:W3CDTF">2021-05-03T05:35:25Z</dcterms:created>
  <dcterms:modified xsi:type="dcterms:W3CDTF">2021-10-23T21:13:29Z</dcterms:modified>
</cp:coreProperties>
</file>